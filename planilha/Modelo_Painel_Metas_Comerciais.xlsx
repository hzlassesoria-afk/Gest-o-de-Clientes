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dos" sheetId="1" state="visible" r:id="rId3"/>
    <sheet name="Meta Mensal" sheetId="2" state="visible" r:id="rId4"/>
    <sheet name="Meta Semanal" sheetId="3" state="visible" r:id="rId5"/>
    <sheet name="Meta Diária" sheetId="4" state="visible" r:id="rId6"/>
    <sheet name="Cálculo" sheetId="5" state="visible" r:id="rId7"/>
    <sheet name="Folg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Dado do usuário: quanto será investido em anúncios no mês.</t>
        </r>
      </text>
    </comment>
    <comment ref="C10" authorId="0">
      <text>
        <r>
          <rPr>
            <sz val="10"/>
            <rFont val="Arial"/>
            <family val="2"/>
          </rPr>
          <t xml:space="preserve">Exemplo: R$ 35,00 por lead. Troque pelo custo por lead que você prevê.</t>
        </r>
      </text>
    </comment>
  </commentList>
</comments>
</file>

<file path=xl/sharedStrings.xml><?xml version="1.0" encoding="utf-8"?>
<sst xmlns="http://schemas.openxmlformats.org/spreadsheetml/2006/main" count="262" uniqueCount="141">
  <si>
    <t xml:space="preserve">Preencha só as células amarelas (letras azuis). Todas as outras abas se calculam sozinhas a partir daqui.</t>
  </si>
  <si>
    <t xml:space="preserve">Cliente / profissional</t>
  </si>
  <si>
    <t xml:space="preserve">[Nome do cliente]</t>
  </si>
  <si>
    <t xml:space="preserve">Mês de referência (1º dia do mês)</t>
  </si>
  <si>
    <t xml:space="preserve">Qualquer dia do mês serve; a planilha usa o mês inteiro.</t>
  </si>
  <si>
    <t xml:space="preserve">Investimento previsto (R$)</t>
  </si>
  <si>
    <t xml:space="preserve">Quanto será investido em anúncios no mês.</t>
  </si>
  <si>
    <t xml:space="preserve">Data de hoje (para saber o que já passou)</t>
  </si>
  <si>
    <t xml:space="preserve">Vem da data do computador. Para simular outro dia, digite a data (azul).</t>
  </si>
  <si>
    <t xml:space="preserve">Reduzir as metas seguintes quando eu superar a meta?</t>
  </si>
  <si>
    <t xml:space="preserve">Não</t>
  </si>
  <si>
    <t xml:space="preserve">"Não": a meta só sobe quando fico abaixo. "Sim": ela também cai quando eu supero.</t>
  </si>
  <si>
    <t xml:space="preserve">Etapa</t>
  </si>
  <si>
    <t xml:space="preserve">Como definir</t>
  </si>
  <si>
    <t xml:space="preserve">Valor previsto</t>
  </si>
  <si>
    <t xml:space="preserve">Unidade do valor</t>
  </si>
  <si>
    <t xml:space="preserve">Meta do mês (nº)</t>
  </si>
  <si>
    <t xml:space="preserve">Custo por unidade (R$)</t>
  </si>
  <si>
    <t xml:space="preserve">% da etapa anterior</t>
  </si>
  <si>
    <t xml:space="preserve">Alerta</t>
  </si>
  <si>
    <t xml:space="preserve">Lead</t>
  </si>
  <si>
    <t xml:space="preserve">Custo</t>
  </si>
  <si>
    <t xml:space="preserve">—</t>
  </si>
  <si>
    <t xml:space="preserve">Lead em cotação</t>
  </si>
  <si>
    <t xml:space="preserve">Porcentagem</t>
  </si>
  <si>
    <t xml:space="preserve">Lead em negociação</t>
  </si>
  <si>
    <t xml:space="preserve">Venda</t>
  </si>
  <si>
    <t xml:space="preserve">Os números atuais são um exemplo: investimento R$ 30.000, lead a R$ 35,00 (858 leads), cotação em 20% dos leads, negociação em 60% das cotações, venda em 30% das negociações. Troque pelos seus.</t>
  </si>
  <si>
    <t xml:space="preserve">Como usar</t>
  </si>
  <si>
    <t xml:space="preserve">1.</t>
  </si>
  <si>
    <t xml:space="preserve">Preencha o mês, o investimento previsto e, para cada etapa, escolha "Custo" (R$ por unidade), "Porcentagem" (% da etapa anterior, digite 20 para 20%) ou "Número" (quantidade exata no mês).</t>
  </si>
  <si>
    <t xml:space="preserve">2.</t>
  </si>
  <si>
    <t xml:space="preserve">Lead só aceita Custo ou Número: ele é o início do funil, não tem etapa anterior. As demais etapas aceitam os três.</t>
  </si>
  <si>
    <t xml:space="preserve">3.</t>
  </si>
  <si>
    <t xml:space="preserve">Pessoas (leads, cotações, negociações, vendas) são sempre números inteiros: o total do mês é arredondado para cima.</t>
  </si>
  <si>
    <t xml:space="preserve">4.</t>
  </si>
  <si>
    <t xml:space="preserve">Em "Meta Diária", digite só o REALIZADO de cada dia (células amarelas). As metas de semana e de dia se ajustam sozinhas.</t>
  </si>
  <si>
    <t xml:space="preserve">5.</t>
  </si>
  <si>
    <t xml:space="preserve">Compensação: ficou abaixo no dia 1, a meta do dia 2 sobe; ficou abaixo na semana 1, a meta da semana 2 sobe. Dias passados sem lançamento contam como 0; hoje e dias futuros sem lançamento são considerados cumpridos.</t>
  </si>
  <si>
    <t xml:space="preserve">6.</t>
  </si>
  <si>
    <t xml:space="preserve">Feriados nacionais já saem como folga (aba Folgas). Acrescente ali feriados locais ou dias sem expediente.</t>
  </si>
  <si>
    <t xml:space="preserve">Cores</t>
  </si>
  <si>
    <t xml:space="preserve">Azul = valor que você digita · Preto = fórmula · Verde = ligação entre abas · Fundo amarelo = célula para preencher.</t>
  </si>
  <si>
    <t xml:space="preserve">Mês</t>
  </si>
  <si>
    <t xml:space="preserve">Dias úteis</t>
  </si>
  <si>
    <t xml:space="preserve">Dias encerrados</t>
  </si>
  <si>
    <t xml:space="preserve">Hoje</t>
  </si>
  <si>
    <t xml:space="preserve">Métrica</t>
  </si>
  <si>
    <t xml:space="preserve">Meta do mês</t>
  </si>
  <si>
    <t xml:space="preserve">Realizado</t>
  </si>
  <si>
    <t xml:space="preserve">% da meta</t>
  </si>
  <si>
    <t xml:space="preserve">Falta</t>
  </si>
  <si>
    <t xml:space="preserve">Situação</t>
  </si>
  <si>
    <t xml:space="preserve">Investimento (R$)</t>
  </si>
  <si>
    <t xml:space="preserve">Custo por lead (teto)</t>
  </si>
  <si>
    <t xml:space="preserve">Custo por cotação (teto)</t>
  </si>
  <si>
    <t xml:space="preserve">Custo por negociação (teto)</t>
  </si>
  <si>
    <t xml:space="preserve">Custo por venda (teto)</t>
  </si>
  <si>
    <t xml:space="preserve">Meta do mês vem da aba Base de Dados. Custo por unidade (teto) = custo previsto; o realizado é investimento ÷ quantidade lançada. "No ritmo" compara o realizado com a meta proporcional aos dias úteis já encerrados.</t>
  </si>
  <si>
    <t xml:space="preserve">Semanas de segunda a sexta. A meta de cada semana sobe quando a semana anterior ficou abaixo. O realizado vem da aba Meta Diária.</t>
  </si>
  <si>
    <t xml:space="preserve">Teto →</t>
  </si>
  <si>
    <t xml:space="preserve">Semana</t>
  </si>
  <si>
    <t xml:space="preserve">Período</t>
  </si>
  <si>
    <t xml:space="preserve">Investimento
Meta da semana</t>
  </si>
  <si>
    <t xml:space="preserve">Investimento
Realizado</t>
  </si>
  <si>
    <t xml:space="preserve">Lead
Meta da semana</t>
  </si>
  <si>
    <t xml:space="preserve">Lead
Realizado</t>
  </si>
  <si>
    <t xml:space="preserve">Lead em cotação
Meta da semana</t>
  </si>
  <si>
    <t xml:space="preserve">Lead em cotação
Realizado</t>
  </si>
  <si>
    <t xml:space="preserve">Lead em negociação
Meta da semana</t>
  </si>
  <si>
    <t xml:space="preserve">Lead em negociação
Realizado</t>
  </si>
  <si>
    <t xml:space="preserve">Venda
Meta da semana</t>
  </si>
  <si>
    <t xml:space="preserve">Venda
Realizado</t>
  </si>
  <si>
    <t xml:space="preserve">Custo por lead
(real)</t>
  </si>
  <si>
    <t xml:space="preserve">Custo por cotação
(real)</t>
  </si>
  <si>
    <t xml:space="preserve">Custo por negociação
(real)</t>
  </si>
  <si>
    <t xml:space="preserve">Custo por venda
(real)</t>
  </si>
  <si>
    <t xml:space="preserve">Digite só o REALIZADO de cada dia (células amarelas). A meta de cada dia se ajusta sozinha: ficou abaixo, a meta seguinte sobe.</t>
  </si>
  <si>
    <t xml:space="preserve">Verde = bateu a meta do dia · Amarelo = entre 70% e 100% · Vermelho = abaixo de 70% · Custos: verde = dentro do teto, amarelo = até 20% acima, vermelho = acima.</t>
  </si>
  <si>
    <t xml:space="preserve">Data</t>
  </si>
  <si>
    <t xml:space="preserve">Dia</t>
  </si>
  <si>
    <t xml:space="preserve">Foco do dia</t>
  </si>
  <si>
    <t xml:space="preserve">Dia útil?</t>
  </si>
  <si>
    <t xml:space="preserve">Investimento
Meta do dia</t>
  </si>
  <si>
    <t xml:space="preserve">Lead
Meta do dia</t>
  </si>
  <si>
    <t xml:space="preserve">Lead em cotação
Meta do dia</t>
  </si>
  <si>
    <t xml:space="preserve">Lead em negociação
Meta do dia</t>
  </si>
  <si>
    <t xml:space="preserve">Venda
Meta do dia</t>
  </si>
  <si>
    <t xml:space="preserve">Total do mês</t>
  </si>
  <si>
    <t xml:space="preserve">Cálculo — motor das metas (não precisa mexer)</t>
  </si>
  <si>
    <t xml:space="preserve">Dias úteis do mês (N)</t>
  </si>
  <si>
    <t xml:space="preserve">Primeiro dia do mês</t>
  </si>
  <si>
    <t xml:space="preserve">Total do mês — Investimento</t>
  </si>
  <si>
    <t xml:space="preserve">Total do mês — Lead</t>
  </si>
  <si>
    <t xml:space="preserve">Total do mês — Lead em cotação</t>
  </si>
  <si>
    <t xml:space="preserve">Total do mês — Lead em negociação</t>
  </si>
  <si>
    <t xml:space="preserve">Total do mês — Venda</t>
  </si>
  <si>
    <t xml:space="preserve">Dias úteis já encerrados</t>
  </si>
  <si>
    <t xml:space="preserve">Segunda-feira da 1ª semana</t>
  </si>
  <si>
    <t xml:space="preserve">Útil (1/0)</t>
  </si>
  <si>
    <t xml:space="preserve">Nº do dia útil na semana</t>
  </si>
  <si>
    <t xml:space="preserve">Dias úteis na semana</t>
  </si>
  <si>
    <t xml:space="preserve">Dias úteis do mês a partir da semana</t>
  </si>
  <si>
    <t xml:space="preserve">Início de semana</t>
  </si>
  <si>
    <t xml:space="preserve">Semana do calendário (seg-dom)</t>
  </si>
  <si>
    <t xml:space="preserve">Investimento: projetado do dia</t>
  </si>
  <si>
    <t xml:space="preserve">Projetado até o dia anterior</t>
  </si>
  <si>
    <t xml:space="preserve">Meta-base da semana</t>
  </si>
  <si>
    <t xml:space="preserve">Meta da semana</t>
  </si>
  <si>
    <t xml:space="preserve">Meta-base do dia</t>
  </si>
  <si>
    <t xml:space="preserve">Meta do dia</t>
  </si>
  <si>
    <t xml:space="preserve">Lead: projetado do dia</t>
  </si>
  <si>
    <t xml:space="preserve">Semana atrasada? (1/0)</t>
  </si>
  <si>
    <t xml:space="preserve">Metas-base das semanas anteriores</t>
  </si>
  <si>
    <t xml:space="preserve">Parte 1 da semana</t>
  </si>
  <si>
    <t xml:space="preserve">Parte 2 da semana</t>
  </si>
  <si>
    <t xml:space="preserve">Parte 3 da semana</t>
  </si>
  <si>
    <t xml:space="preserve">Parte 4 da semana</t>
  </si>
  <si>
    <t xml:space="preserve">Parte 5 da semana</t>
  </si>
  <si>
    <t xml:space="preserve">Parte-base 1 da semana</t>
  </si>
  <si>
    <t xml:space="preserve">Parte-base 2 da semana</t>
  </si>
  <si>
    <t xml:space="preserve">Parte-base 3 da semana</t>
  </si>
  <si>
    <t xml:space="preserve">Parte-base 4 da semana</t>
  </si>
  <si>
    <t xml:space="preserve">Parte-base 5 da semana</t>
  </si>
  <si>
    <t xml:space="preserve">Restante base (dias)</t>
  </si>
  <si>
    <t xml:space="preserve">Lead em cotação: projetado do dia</t>
  </si>
  <si>
    <t xml:space="preserve">Lead em negociação: projetado do dia</t>
  </si>
  <si>
    <t xml:space="preserve">Venda: projetado do dia</t>
  </si>
  <si>
    <t xml:space="preserve">Folgas e feriados</t>
  </si>
  <si>
    <t xml:space="preserve">Dias listados aqui não contam como dia útil. Feriados nacionais fixos + Sexta-feira Santa; Carnaval e Corpus Christi ficam de fora (facultativos). Acrescente outros nas linhas livres.</t>
  </si>
  <si>
    <t xml:space="preserve">Motivo</t>
  </si>
  <si>
    <t xml:space="preserve">Confraternização Universal</t>
  </si>
  <si>
    <t xml:space="preserve">Sexta-feira Santa</t>
  </si>
  <si>
    <t xml:space="preserve">Tiradentes</t>
  </si>
  <si>
    <t xml:space="preserve">Dia do Trabalho</t>
  </si>
  <si>
    <t xml:space="preserve">Independência</t>
  </si>
  <si>
    <t xml:space="preserve">Nossa Sra. Aparecida</t>
  </si>
  <si>
    <t xml:space="preserve">Finados</t>
  </si>
  <si>
    <t xml:space="preserve">Proclamação da República</t>
  </si>
  <si>
    <t xml:space="preserve">Consciência Negra</t>
  </si>
  <si>
    <t xml:space="preserve">Natal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</si>
</sst>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yyyy"/>
    <numFmt numFmtId="166" formatCode="&quot;R$ &quot;#,##0.00"/>
    <numFmt numFmtId="167" formatCode="dd/mm/yyyy"/>
    <numFmt numFmtId="168" formatCode="#,##0.00"/>
    <numFmt numFmtId="169" formatCode="#,##0"/>
    <numFmt numFmtId="170" formatCode="0.0%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6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FFE08A"/>
      </patternFill>
    </fill>
    <fill>
      <patternFill patternType="solid">
        <fgColor rgb="FF0F0E10"/>
        <bgColor rgb="FF000000"/>
      </patternFill>
    </fill>
    <fill>
      <patternFill patternType="solid">
        <fgColor rgb="FFFFE3D1"/>
        <bgColor rgb="FFE7E7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B7E4C7"/>
        </patternFill>
      </fill>
    </dxf>
    <dxf>
      <fill>
        <patternFill>
          <bgColor rgb="FFFFE08A"/>
        </patternFill>
      </fill>
    </dxf>
    <dxf>
      <fill>
        <patternFill>
          <bgColor rgb="FFF4B6B6"/>
        </patternFill>
      </fill>
    </dxf>
    <dxf>
      <font>
        <name val="Arial"/>
        <charset val="1"/>
        <family val="0"/>
        <color rgb="FF888888"/>
      </font>
      <fill>
        <patternFill>
          <bgColor rgb="FFE7E7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E3D1"/>
      <rgbColor rgb="FFE7E7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4C7"/>
      <rgbColor rgb="FFFFF2A8"/>
      <rgbColor rgb="FF99CCFF"/>
      <rgbColor rgb="FFF4B6B6"/>
      <rgbColor rgb="FFCC99FF"/>
      <rgbColor rgb="FFFFE08A"/>
      <rgbColor rgb="FF3366FF"/>
      <rgbColor rgb="FF33CCCC"/>
      <rgbColor rgb="FF99CC00"/>
      <rgbColor rgb="FFFFCC00"/>
      <rgbColor rgb="FFFF9900"/>
      <rgbColor rgb="FFFF6A1A"/>
      <rgbColor rgb="FF666666"/>
      <rgbColor rgb="FF999999"/>
      <rgbColor rgb="FF003366"/>
      <rgbColor rgb="FF339966"/>
      <rgbColor rgb="FF0F0E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tr">
        <f aca="false">"Base de dados — previsões do mês · "&amp;$B$3</f>
        <v>Base de dados — previsões do mês · [Nome do cliente]</v>
      </c>
    </row>
    <row r="2" customFormat="false" ht="15" hidden="false" customHeight="false" outlineLevel="0" collapsed="false">
      <c r="A2" s="2" t="s">
        <v>0</v>
      </c>
    </row>
    <row r="3" customFormat="false" ht="15" hidden="false" customHeight="false" outlineLevel="0" collapsed="false">
      <c r="A3" s="3" t="s">
        <v>1</v>
      </c>
      <c r="B3" s="4" t="s">
        <v>2</v>
      </c>
      <c r="C3" s="4"/>
      <c r="D3" s="4"/>
    </row>
    <row r="4" customFormat="false" ht="15" hidden="false" customHeight="false" outlineLevel="0" collapsed="false">
      <c r="A4" s="3" t="s">
        <v>3</v>
      </c>
      <c r="B4" s="5" t="n">
        <v>46296</v>
      </c>
      <c r="C4" s="2" t="s">
        <v>4</v>
      </c>
    </row>
    <row r="5" customFormat="false" ht="15" hidden="false" customHeight="false" outlineLevel="0" collapsed="false">
      <c r="A5" s="3" t="s">
        <v>5</v>
      </c>
      <c r="B5" s="6" t="n">
        <v>30000</v>
      </c>
      <c r="C5" s="2" t="s">
        <v>6</v>
      </c>
    </row>
    <row r="6" customFormat="false" ht="15" hidden="false" customHeight="false" outlineLevel="0" collapsed="false">
      <c r="A6" s="3" t="s">
        <v>7</v>
      </c>
      <c r="B6" s="7" t="n">
        <f aca="true">TODAY()</f>
        <v>46308</v>
      </c>
      <c r="C6" s="2" t="s">
        <v>8</v>
      </c>
    </row>
    <row r="7" customFormat="false" ht="15" hidden="false" customHeight="false" outlineLevel="0" collapsed="false">
      <c r="A7" s="3" t="s">
        <v>9</v>
      </c>
      <c r="B7" s="8" t="s">
        <v>10</v>
      </c>
      <c r="C7" s="2" t="s">
        <v>11</v>
      </c>
    </row>
    <row r="9" customFormat="false" ht="15" hidden="false" customHeight="false" outlineLevel="0" collapsed="false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</row>
    <row r="10" customFormat="false" ht="15" hidden="false" customHeight="false" outlineLevel="0" collapsed="false">
      <c r="A10" s="3" t="s">
        <v>20</v>
      </c>
      <c r="B10" s="8" t="s">
        <v>21</v>
      </c>
      <c r="C10" s="10" t="n">
        <v>35</v>
      </c>
      <c r="D10" s="11" t="str">
        <f aca="false">IF(B10="Custo","R$ por "&amp;LOWER(A10),IF(B10="Porcentagem","% da etapa anterior",IF(B10="Número","unidades no mês","")))</f>
        <v>R$ por lead</v>
      </c>
      <c r="E10" s="12" t="n">
        <f aca="false">IFERROR(IF(C10="","",IF(B10="Custo",ROUNDUP(ROUND($B$5/C10,6),0),IF(B10="Número",ROUNDUP(ROUND(C10,6),0),""))),"")</f>
        <v>858</v>
      </c>
      <c r="F10" s="13" t="n">
        <f aca="false">IF(AND(ISNUMBER(E10),$B$5&gt;0),IF(B10="Custo",C10,IF(E10&gt;0,$B$5/E10,"")),"")</f>
        <v>35</v>
      </c>
      <c r="G10" s="14" t="s">
        <v>22</v>
      </c>
      <c r="H10" s="15" t="str">
        <f aca="false">IF(C10="","Preencha o valor",IF(AND(B10="Custo",$B$5&lt;=0),"Informe o investimento previsto",IF(E10="","Confira o valor","")))</f>
        <v/>
      </c>
    </row>
    <row r="11" customFormat="false" ht="15" hidden="false" customHeight="false" outlineLevel="0" collapsed="false">
      <c r="A11" s="3" t="s">
        <v>23</v>
      </c>
      <c r="B11" s="8" t="s">
        <v>24</v>
      </c>
      <c r="C11" s="10" t="n">
        <v>20</v>
      </c>
      <c r="D11" s="11" t="str">
        <f aca="false">IF(B11="Custo","R$ por "&amp;LOWER(A11),IF(B11="Porcentagem","% da etapa anterior",IF(B11="Número","unidades no mês","")))</f>
        <v>% da etapa anterior</v>
      </c>
      <c r="E11" s="12" t="n">
        <f aca="false">IFERROR(IF(C11="","",IF(B11="Custo",ROUNDUP(ROUND($B$5/C11,6),0),IF(B11="Porcentagem",IF(ISNUMBER(E10),ROUNDUP(ROUND(E10*C11/100,6),0),""),IF(B11="Número",ROUNDUP(ROUND(C11,6),0),"")))),"")</f>
        <v>172</v>
      </c>
      <c r="F11" s="13" t="n">
        <f aca="false">IF(AND(ISNUMBER(E11),$B$5&gt;0),IF(B11="Custo",C11,IF(E11&gt;0,$B$5/E11,"")),"")</f>
        <v>174.418604651163</v>
      </c>
      <c r="G11" s="16" t="n">
        <f aca="false">IF(AND(ISNUMBER(E11),ISNUMBER(E10)),IF(E10&gt;0,E11/E10,""),"")</f>
        <v>0.2004662004662</v>
      </c>
      <c r="H11" s="15" t="str">
        <f aca="false">IF(C11="","Preencha o valor",IF(AND(B11="Porcentagem",C11&gt;100),"Porcentagem acima de 100",IF(AND(B11="Porcentagem",NOT(ISNUMBER(E10))),"Defina a etapa anterior",IF(AND(B11="Custo",$B$5&lt;=0),"Informe o investimento previsto",IF(E11="","Confira o valor","")))))</f>
        <v/>
      </c>
    </row>
    <row r="12" customFormat="false" ht="15" hidden="false" customHeight="false" outlineLevel="0" collapsed="false">
      <c r="A12" s="3" t="s">
        <v>25</v>
      </c>
      <c r="B12" s="8" t="s">
        <v>24</v>
      </c>
      <c r="C12" s="10" t="n">
        <v>60</v>
      </c>
      <c r="D12" s="11" t="str">
        <f aca="false">IF(B12="Custo","R$ por "&amp;LOWER(A12),IF(B12="Porcentagem","% da etapa anterior",IF(B12="Número","unidades no mês","")))</f>
        <v>% da etapa anterior</v>
      </c>
      <c r="E12" s="12" t="n">
        <f aca="false">IFERROR(IF(C12="","",IF(B12="Custo",ROUNDUP(ROUND($B$5/C12,6),0),IF(B12="Porcentagem",IF(ISNUMBER(E11),ROUNDUP(ROUND(E11*C12/100,6),0),""),IF(B12="Número",ROUNDUP(ROUND(C12,6),0),"")))),"")</f>
        <v>104</v>
      </c>
      <c r="F12" s="13" t="n">
        <f aca="false">IF(AND(ISNUMBER(E12),$B$5&gt;0),IF(B12="Custo",C12,IF(E12&gt;0,$B$5/E12,"")),"")</f>
        <v>288.461538461538</v>
      </c>
      <c r="G12" s="16" t="n">
        <f aca="false">IF(AND(ISNUMBER(E12),ISNUMBER(E11)),IF(E11&gt;0,E12/E11,""),"")</f>
        <v>0.604651162790698</v>
      </c>
      <c r="H12" s="15" t="str">
        <f aca="false">IF(C12="","Preencha o valor",IF(AND(B12="Porcentagem",C12&gt;100),"Porcentagem acima de 100",IF(AND(B12="Porcentagem",NOT(ISNUMBER(E11))),"Defina a etapa anterior",IF(AND(B12="Custo",$B$5&lt;=0),"Informe o investimento previsto",IF(E12="","Confira o valor","")))))</f>
        <v/>
      </c>
    </row>
    <row r="13" customFormat="false" ht="15" hidden="false" customHeight="false" outlineLevel="0" collapsed="false">
      <c r="A13" s="3" t="s">
        <v>26</v>
      </c>
      <c r="B13" s="8" t="s">
        <v>24</v>
      </c>
      <c r="C13" s="10" t="n">
        <v>30</v>
      </c>
      <c r="D13" s="11" t="str">
        <f aca="false">IF(B13="Custo","R$ por "&amp;LOWER(A13),IF(B13="Porcentagem","% da etapa anterior",IF(B13="Número","unidades no mês","")))</f>
        <v>% da etapa anterior</v>
      </c>
      <c r="E13" s="12" t="n">
        <f aca="false">IFERROR(IF(C13="","",IF(B13="Custo",ROUNDUP(ROUND($B$5/C13,6),0),IF(B13="Porcentagem",IF(ISNUMBER(E12),ROUNDUP(ROUND(E12*C13/100,6),0),""),IF(B13="Número",ROUNDUP(ROUND(C13,6),0),"")))),"")</f>
        <v>32</v>
      </c>
      <c r="F13" s="13" t="n">
        <f aca="false">IF(AND(ISNUMBER(E13),$B$5&gt;0),IF(B13="Custo",C13,IF(E13&gt;0,$B$5/E13,"")),"")</f>
        <v>937.5</v>
      </c>
      <c r="G13" s="16" t="n">
        <f aca="false">IF(AND(ISNUMBER(E13),ISNUMBER(E12)),IF(E12&gt;0,E13/E12,""),"")</f>
        <v>0.307692307692308</v>
      </c>
      <c r="H13" s="15" t="str">
        <f aca="false">IF(C13="","Preencha o valor",IF(AND(B13="Porcentagem",C13&gt;100),"Porcentagem acima de 100",IF(AND(B13="Porcentagem",NOT(ISNUMBER(E12))),"Defina a etapa anterior",IF(AND(B13="Custo",$B$5&lt;=0),"Informe o investimento previsto",IF(E13="","Confira o valor","")))))</f>
        <v/>
      </c>
    </row>
    <row r="15" customFormat="false" ht="15" hidden="false" customHeight="false" outlineLevel="0" collapsed="false">
      <c r="A15" s="2" t="s">
        <v>27</v>
      </c>
    </row>
    <row r="17" customFormat="false" ht="15" hidden="false" customHeight="false" outlineLevel="0" collapsed="false">
      <c r="A17" s="17" t="s">
        <v>28</v>
      </c>
    </row>
    <row r="18" customFormat="false" ht="30" hidden="false" customHeight="true" outlineLevel="0" collapsed="false">
      <c r="A18" s="18" t="s">
        <v>29</v>
      </c>
      <c r="B18" s="19" t="s">
        <v>30</v>
      </c>
      <c r="C18" s="19"/>
      <c r="D18" s="19"/>
      <c r="E18" s="19"/>
      <c r="F18" s="19"/>
      <c r="G18" s="19"/>
      <c r="H18" s="19"/>
    </row>
    <row r="19" customFormat="false" ht="30" hidden="false" customHeight="true" outlineLevel="0" collapsed="false">
      <c r="A19" s="18" t="s">
        <v>31</v>
      </c>
      <c r="B19" s="19" t="s">
        <v>32</v>
      </c>
      <c r="C19" s="19"/>
      <c r="D19" s="19"/>
      <c r="E19" s="19"/>
      <c r="F19" s="19"/>
      <c r="G19" s="19"/>
      <c r="H19" s="19"/>
    </row>
    <row r="20" customFormat="false" ht="30" hidden="false" customHeight="true" outlineLevel="0" collapsed="false">
      <c r="A20" s="18" t="s">
        <v>33</v>
      </c>
      <c r="B20" s="19" t="s">
        <v>34</v>
      </c>
      <c r="C20" s="19"/>
      <c r="D20" s="19"/>
      <c r="E20" s="19"/>
      <c r="F20" s="19"/>
      <c r="G20" s="19"/>
      <c r="H20" s="19"/>
    </row>
    <row r="21" customFormat="false" ht="30" hidden="false" customHeight="true" outlineLevel="0" collapsed="false">
      <c r="A21" s="18" t="s">
        <v>35</v>
      </c>
      <c r="B21" s="19" t="s">
        <v>36</v>
      </c>
      <c r="C21" s="19"/>
      <c r="D21" s="19"/>
      <c r="E21" s="19"/>
      <c r="F21" s="19"/>
      <c r="G21" s="19"/>
      <c r="H21" s="19"/>
    </row>
    <row r="22" customFormat="false" ht="30" hidden="false" customHeight="true" outlineLevel="0" collapsed="false">
      <c r="A22" s="18" t="s">
        <v>37</v>
      </c>
      <c r="B22" s="19" t="s">
        <v>38</v>
      </c>
      <c r="C22" s="19"/>
      <c r="D22" s="19"/>
      <c r="E22" s="19"/>
      <c r="F22" s="19"/>
      <c r="G22" s="19"/>
      <c r="H22" s="19"/>
    </row>
    <row r="23" customFormat="false" ht="30" hidden="false" customHeight="true" outlineLevel="0" collapsed="false">
      <c r="A23" s="18" t="s">
        <v>39</v>
      </c>
      <c r="B23" s="19" t="s">
        <v>40</v>
      </c>
      <c r="C23" s="19"/>
      <c r="D23" s="19"/>
      <c r="E23" s="19"/>
      <c r="F23" s="19"/>
      <c r="G23" s="19"/>
      <c r="H23" s="19"/>
    </row>
    <row r="24" customFormat="false" ht="30" hidden="false" customHeight="true" outlineLevel="0" collapsed="false">
      <c r="A24" s="17" t="s">
        <v>41</v>
      </c>
      <c r="B24" s="19" t="s">
        <v>42</v>
      </c>
      <c r="C24" s="19"/>
      <c r="D24" s="19"/>
      <c r="E24" s="19"/>
      <c r="F24" s="19"/>
      <c r="G24" s="19"/>
      <c r="H24" s="19"/>
    </row>
  </sheetData>
  <mergeCells count="8">
    <mergeCell ref="B3:D3"/>
    <mergeCell ref="B18:H18"/>
    <mergeCell ref="B19:H19"/>
    <mergeCell ref="B20:H20"/>
    <mergeCell ref="B21:H21"/>
    <mergeCell ref="B22:H22"/>
    <mergeCell ref="B23:H23"/>
    <mergeCell ref="B24:H24"/>
  </mergeCells>
  <dataValidations count="5">
    <dataValidation allowBlank="false" errorStyle="stop" operator="between" showDropDown="false" showErrorMessage="false" showInputMessage="false" sqref="B10" type="list">
      <formula1>"Custo,Número"</formula1>
      <formula2>0</formula2>
    </dataValidation>
    <dataValidation allowBlank="false" errorStyle="stop" operator="between" showDropDown="false" showErrorMessage="false" showInputMessage="false" sqref="B11:B13" type="list">
      <formula1>"Custo,Porcentagem,Número"</formula1>
      <formula2>0</formula2>
    </dataValidation>
    <dataValidation allowBlank="false" errorStyle="stop" operator="between" showDropDown="false" showErrorMessage="false" showInputMessage="false" sqref="B7" type="list">
      <formula1>"Sim,Não"</formula1>
      <formula2>0</formula2>
    </dataValidation>
    <dataValidation allowBlank="false" error="Informe um número maior ou igual a zero." errorStyle="stop" operator="greaterThanOrEqual" showDropDown="false" showErrorMessage="true" showInputMessage="false" sqref="B5 C10:C13" type="decimal">
      <formula1>0</formula1>
      <formula2>0</formula2>
    </dataValidation>
    <dataValidation allowBlank="false" error="Informe uma data válida." errorStyle="stop" operator="greaterThan" showDropDown="false" showErrorMessage="true" showInputMessage="false" sqref="B4 B6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tr">
        <f aca="false">"Meta mensal · "&amp;'Base de Dados'!$B$3</f>
        <v>Meta mensal · [Nome do cliente]</v>
      </c>
    </row>
    <row r="3" customFormat="false" ht="15" hidden="false" customHeight="false" outlineLevel="0" collapsed="false">
      <c r="A3" s="3" t="s">
        <v>43</v>
      </c>
      <c r="B3" s="20" t="n">
        <f aca="false">'Base de Dados'!$B$4</f>
        <v>46296</v>
      </c>
      <c r="C3" s="3" t="s">
        <v>44</v>
      </c>
      <c r="D3" s="21" t="n">
        <f aca="false">Cálculo!B2</f>
        <v>21</v>
      </c>
      <c r="E3" s="3" t="s">
        <v>45</v>
      </c>
      <c r="F3" s="21" t="n">
        <f aca="false">Cálculo!B3</f>
        <v>7</v>
      </c>
      <c r="G3" s="3" t="s">
        <v>46</v>
      </c>
      <c r="H3" s="22" t="n">
        <f aca="false">'Base de Dados'!$B$6</f>
        <v>46308</v>
      </c>
    </row>
    <row r="5" customFormat="false" ht="15" hidden="false" customHeight="false" outlineLevel="0" collapsed="false">
      <c r="A5" s="9" t="s">
        <v>47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52</v>
      </c>
    </row>
    <row r="6" customFormat="false" ht="15" hidden="false" customHeight="false" outlineLevel="0" collapsed="false">
      <c r="A6" s="3" t="s">
        <v>53</v>
      </c>
      <c r="B6" s="23" t="n">
        <f aca="false">IF(ISNUMBER('Base de Dados'!$B$5),'Base de Dados'!$B$5,"")</f>
        <v>30000</v>
      </c>
      <c r="C6" s="23" t="str">
        <f aca="false">IF(COUNT('Meta Diária'!G6:G36)=0,"",SUM('Meta Diária'!G6:G36))</f>
        <v/>
      </c>
      <c r="D6" s="16" t="str">
        <f aca="false">IF(AND(ISNUMBER(B6),B6&gt;0,ISNUMBER(C6)),C6/B6,"")</f>
        <v/>
      </c>
      <c r="E6" s="13" t="n">
        <f aca="false">IF(ISNUMBER(B6),MAX(B6-N(C6),0),"")</f>
        <v>30000</v>
      </c>
      <c r="F6" s="24" t="str">
        <f aca="false">IF(NOT(ISNUMBER(B6)),"—",IF($F$3=0,"Aguardando",IF(N(C6)&gt;=B6*$F$3/$D$3,"No ritmo",IF(N(C6)&gt;=0.7*B6*$F$3/$D$3,"Atenção","Abaixo do ritmo"))))</f>
        <v>Abaixo do ritmo</v>
      </c>
    </row>
    <row r="7" customFormat="false" ht="15" hidden="false" customHeight="false" outlineLevel="0" collapsed="false">
      <c r="A7" s="3" t="s">
        <v>20</v>
      </c>
      <c r="B7" s="25" t="n">
        <f aca="false">IF(ISNUMBER('Base de Dados'!$E$10),'Base de Dados'!$E$10,"")</f>
        <v>858</v>
      </c>
      <c r="C7" s="25" t="str">
        <f aca="false">IF(COUNT('Meta Diária'!I6:I36)=0,"",SUM('Meta Diária'!I6:I36))</f>
        <v/>
      </c>
      <c r="D7" s="16" t="str">
        <f aca="false">IF(AND(ISNUMBER(B7),B7&gt;0,ISNUMBER(C7)),C7/B7,"")</f>
        <v/>
      </c>
      <c r="E7" s="12" t="n">
        <f aca="false">IF(ISNUMBER(B7),MAX(B7-N(C7),0),"")</f>
        <v>858</v>
      </c>
      <c r="F7" s="24" t="str">
        <f aca="false">IF(NOT(ISNUMBER(B7)),"—",IF($F$3=0,"Aguardando",IF(N(C7)&gt;=B7*$F$3/$D$3,"No ritmo",IF(N(C7)&gt;=0.7*B7*$F$3/$D$3,"Atenção","Abaixo do ritmo"))))</f>
        <v>Abaixo do ritmo</v>
      </c>
    </row>
    <row r="8" customFormat="false" ht="15" hidden="false" customHeight="false" outlineLevel="0" collapsed="false">
      <c r="A8" s="3" t="s">
        <v>54</v>
      </c>
      <c r="B8" s="23" t="n">
        <f aca="false">IF(ISNUMBER('Base de Dados'!$F$10),'Base de Dados'!$F$10,"")</f>
        <v>35</v>
      </c>
      <c r="C8" s="23" t="str">
        <f aca="false">IF(AND(COUNT('Meta Diária'!G6:G36)&gt;0,COUNT('Meta Diária'!I6:I36)&gt;0),IF(SUM('Meta Diária'!I6:I36)&gt;0,SUM('Meta Diária'!G6:G36)/SUM('Meta Diária'!I6:I36),""),"")</f>
        <v/>
      </c>
      <c r="D8" s="11"/>
      <c r="E8" s="11"/>
      <c r="F8" s="24" t="str">
        <f aca="false">IF(NOT(ISNUMBER(B8)),"—",IF(NOT(ISNUMBER(C8)),"Aguardando",IF(C8&lt;=B8,"Dentro do teto",IF(C8&lt;=B8*1.2,"Atenção","Acima do teto"))))</f>
        <v>Aguardando</v>
      </c>
    </row>
    <row r="9" customFormat="false" ht="15" hidden="false" customHeight="false" outlineLevel="0" collapsed="false">
      <c r="A9" s="3" t="s">
        <v>23</v>
      </c>
      <c r="B9" s="25" t="n">
        <f aca="false">IF(ISNUMBER('Base de Dados'!$E$11),'Base de Dados'!$E$11,"")</f>
        <v>172</v>
      </c>
      <c r="C9" s="25" t="str">
        <f aca="false">IF(COUNT('Meta Diária'!K6:K36)=0,"",SUM('Meta Diária'!K6:K36))</f>
        <v/>
      </c>
      <c r="D9" s="16" t="str">
        <f aca="false">IF(AND(ISNUMBER(B9),B9&gt;0,ISNUMBER(C9)),C9/B9,"")</f>
        <v/>
      </c>
      <c r="E9" s="12" t="n">
        <f aca="false">IF(ISNUMBER(B9),MAX(B9-N(C9),0),"")</f>
        <v>172</v>
      </c>
      <c r="F9" s="24" t="str">
        <f aca="false">IF(NOT(ISNUMBER(B9)),"—",IF($F$3=0,"Aguardando",IF(N(C9)&gt;=B9*$F$3/$D$3,"No ritmo",IF(N(C9)&gt;=0.7*B9*$F$3/$D$3,"Atenção","Abaixo do ritmo"))))</f>
        <v>Abaixo do ritmo</v>
      </c>
    </row>
    <row r="10" customFormat="false" ht="15" hidden="false" customHeight="false" outlineLevel="0" collapsed="false">
      <c r="A10" s="3" t="s">
        <v>55</v>
      </c>
      <c r="B10" s="23" t="n">
        <f aca="false">IF(ISNUMBER('Base de Dados'!$F$11),'Base de Dados'!$F$11,"")</f>
        <v>174.418604651163</v>
      </c>
      <c r="C10" s="23" t="str">
        <f aca="false">IF(AND(COUNT('Meta Diária'!G6:G36)&gt;0,COUNT('Meta Diária'!K6:K36)&gt;0),IF(SUM('Meta Diária'!K6:K36)&gt;0,SUM('Meta Diária'!G6:G36)/SUM('Meta Diária'!K6:K36),""),"")</f>
        <v/>
      </c>
      <c r="D10" s="11"/>
      <c r="E10" s="11"/>
      <c r="F10" s="24" t="str">
        <f aca="false">IF(NOT(ISNUMBER(B10)),"—",IF(NOT(ISNUMBER(C10)),"Aguardando",IF(C10&lt;=B10,"Dentro do teto",IF(C10&lt;=B10*1.2,"Atenção","Acima do teto"))))</f>
        <v>Aguardando</v>
      </c>
    </row>
    <row r="11" customFormat="false" ht="15" hidden="false" customHeight="false" outlineLevel="0" collapsed="false">
      <c r="A11" s="3" t="s">
        <v>25</v>
      </c>
      <c r="B11" s="25" t="n">
        <f aca="false">IF(ISNUMBER('Base de Dados'!$E$12),'Base de Dados'!$E$12,"")</f>
        <v>104</v>
      </c>
      <c r="C11" s="25" t="str">
        <f aca="false">IF(COUNT('Meta Diária'!M6:M36)=0,"",SUM('Meta Diária'!M6:M36))</f>
        <v/>
      </c>
      <c r="D11" s="16" t="str">
        <f aca="false">IF(AND(ISNUMBER(B11),B11&gt;0,ISNUMBER(C11)),C11/B11,"")</f>
        <v/>
      </c>
      <c r="E11" s="12" t="n">
        <f aca="false">IF(ISNUMBER(B11),MAX(B11-N(C11),0),"")</f>
        <v>104</v>
      </c>
      <c r="F11" s="24" t="str">
        <f aca="false">IF(NOT(ISNUMBER(B11)),"—",IF($F$3=0,"Aguardando",IF(N(C11)&gt;=B11*$F$3/$D$3,"No ritmo",IF(N(C11)&gt;=0.7*B11*$F$3/$D$3,"Atenção","Abaixo do ritmo"))))</f>
        <v>Abaixo do ritmo</v>
      </c>
    </row>
    <row r="12" customFormat="false" ht="15" hidden="false" customHeight="false" outlineLevel="0" collapsed="false">
      <c r="A12" s="3" t="s">
        <v>56</v>
      </c>
      <c r="B12" s="23" t="n">
        <f aca="false">IF(ISNUMBER('Base de Dados'!$F$12),'Base de Dados'!$F$12,"")</f>
        <v>288.461538461538</v>
      </c>
      <c r="C12" s="23" t="str">
        <f aca="false">IF(AND(COUNT('Meta Diária'!G6:G36)&gt;0,COUNT('Meta Diária'!M6:M36)&gt;0),IF(SUM('Meta Diária'!M6:M36)&gt;0,SUM('Meta Diária'!G6:G36)/SUM('Meta Diária'!M6:M36),""),"")</f>
        <v/>
      </c>
      <c r="D12" s="11"/>
      <c r="E12" s="11"/>
      <c r="F12" s="24" t="str">
        <f aca="false">IF(NOT(ISNUMBER(B12)),"—",IF(NOT(ISNUMBER(C12)),"Aguardando",IF(C12&lt;=B12,"Dentro do teto",IF(C12&lt;=B12*1.2,"Atenção","Acima do teto"))))</f>
        <v>Aguardando</v>
      </c>
    </row>
    <row r="13" customFormat="false" ht="15" hidden="false" customHeight="false" outlineLevel="0" collapsed="false">
      <c r="A13" s="3" t="s">
        <v>26</v>
      </c>
      <c r="B13" s="25" t="n">
        <f aca="false">IF(ISNUMBER('Base de Dados'!$E$13),'Base de Dados'!$E$13,"")</f>
        <v>32</v>
      </c>
      <c r="C13" s="25" t="str">
        <f aca="false">IF(COUNT('Meta Diária'!O6:O36)=0,"",SUM('Meta Diária'!O6:O36))</f>
        <v/>
      </c>
      <c r="D13" s="16" t="str">
        <f aca="false">IF(AND(ISNUMBER(B13),B13&gt;0,ISNUMBER(C13)),C13/B13,"")</f>
        <v/>
      </c>
      <c r="E13" s="12" t="n">
        <f aca="false">IF(ISNUMBER(B13),MAX(B13-N(C13),0),"")</f>
        <v>32</v>
      </c>
      <c r="F13" s="24" t="str">
        <f aca="false">IF(NOT(ISNUMBER(B13)),"—",IF($F$3=0,"Aguardando",IF(N(C13)&gt;=B13*$F$3/$D$3,"No ritmo",IF(N(C13)&gt;=0.7*B13*$F$3/$D$3,"Atenção","Abaixo do ritmo"))))</f>
        <v>Abaixo do ritmo</v>
      </c>
    </row>
    <row r="14" customFormat="false" ht="15" hidden="false" customHeight="false" outlineLevel="0" collapsed="false">
      <c r="A14" s="3" t="s">
        <v>57</v>
      </c>
      <c r="B14" s="23" t="n">
        <f aca="false">IF(ISNUMBER('Base de Dados'!$F$13),'Base de Dados'!$F$13,"")</f>
        <v>937.5</v>
      </c>
      <c r="C14" s="23" t="str">
        <f aca="false">IF(AND(COUNT('Meta Diária'!G6:G36)&gt;0,COUNT('Meta Diária'!O6:O36)&gt;0),IF(SUM('Meta Diária'!O6:O36)&gt;0,SUM('Meta Diária'!G6:G36)/SUM('Meta Diária'!O6:O36),""),"")</f>
        <v/>
      </c>
      <c r="D14" s="11"/>
      <c r="E14" s="11"/>
      <c r="F14" s="24" t="str">
        <f aca="false">IF(NOT(ISNUMBER(B14)),"—",IF(NOT(ISNUMBER(C14)),"Aguardando",IF(C14&lt;=B14,"Dentro do teto",IF(C14&lt;=B14*1.2,"Atenção","Acima do teto"))))</f>
        <v>Aguardando</v>
      </c>
    </row>
    <row r="16" customFormat="false" ht="15" hidden="false" customHeight="false" outlineLevel="0" collapsed="false">
      <c r="A16" s="2" t="s">
        <v>58</v>
      </c>
    </row>
  </sheetData>
  <conditionalFormatting sqref="F6:F14">
    <cfRule type="expression" priority="2" aboveAverage="0" equalAverage="0" bottom="0" percent="0" rank="0" text="" dxfId="0">
      <formula>OR(F6="No ritmo",F6="Dentro do teto")</formula>
    </cfRule>
    <cfRule type="expression" priority="3" aboveAverage="0" equalAverage="0" bottom="0" percent="0" rank="0" text="" dxfId="1">
      <formula>F6="Atenção"</formula>
    </cfRule>
    <cfRule type="expression" priority="4" aboveAverage="0" equalAverage="0" bottom="0" percent="0" rank="0" text="" dxfId="2">
      <formula>OR(F6="Abaixo do ritmo",F6="Acima do teto")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17" min="4" style="0" width="15"/>
  </cols>
  <sheetData>
    <row r="1" customFormat="false" ht="19.7" hidden="false" customHeight="false" outlineLevel="0" collapsed="false">
      <c r="A1" s="1" t="str">
        <f aca="false">"Meta semanal · "&amp;'Base de Dados'!$B$3</f>
        <v>Meta semanal · [Nome do cliente]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M4" s="26" t="s">
        <v>60</v>
      </c>
      <c r="N4" s="23" t="n">
        <f aca="false">IF(ISNUMBER('Base de Dados'!$F$10),'Base de Dados'!$F$10,"")</f>
        <v>35</v>
      </c>
      <c r="O4" s="23" t="n">
        <f aca="false">IF(ISNUMBER('Base de Dados'!$F$11),'Base de Dados'!$F$11,"")</f>
        <v>174.418604651163</v>
      </c>
      <c r="P4" s="23" t="n">
        <f aca="false">IF(ISNUMBER('Base de Dados'!$F$12),'Base de Dados'!$F$12,"")</f>
        <v>288.461538461538</v>
      </c>
      <c r="Q4" s="23" t="n">
        <f aca="false">IF(ISNUMBER('Base de Dados'!$F$13),'Base de Dados'!$F$13,"")</f>
        <v>937.5</v>
      </c>
    </row>
    <row r="5" customFormat="false" ht="42" hidden="false" customHeight="true" outlineLevel="0" collapsed="false">
      <c r="A5" s="9" t="s">
        <v>61</v>
      </c>
      <c r="B5" s="9" t="s">
        <v>62</v>
      </c>
      <c r="C5" s="9" t="s">
        <v>44</v>
      </c>
      <c r="D5" s="9" t="s">
        <v>63</v>
      </c>
      <c r="E5" s="9" t="s">
        <v>64</v>
      </c>
      <c r="F5" s="9" t="s">
        <v>65</v>
      </c>
      <c r="G5" s="9" t="s">
        <v>66</v>
      </c>
      <c r="H5" s="9" t="s">
        <v>67</v>
      </c>
      <c r="I5" s="9" t="s">
        <v>68</v>
      </c>
      <c r="J5" s="9" t="s">
        <v>69</v>
      </c>
      <c r="K5" s="9" t="s">
        <v>70</v>
      </c>
      <c r="L5" s="9" t="s">
        <v>71</v>
      </c>
      <c r="M5" s="9" t="s">
        <v>72</v>
      </c>
      <c r="N5" s="9" t="s">
        <v>73</v>
      </c>
      <c r="O5" s="9" t="s">
        <v>74</v>
      </c>
      <c r="P5" s="9" t="s">
        <v>75</v>
      </c>
      <c r="Q5" s="9" t="s">
        <v>76</v>
      </c>
    </row>
    <row r="6" customFormat="false" ht="15" hidden="false" customHeight="false" outlineLevel="0" collapsed="false">
      <c r="A6" s="27" t="n">
        <v>1</v>
      </c>
      <c r="B6" s="28" t="str">
        <f aca="false">IF(COUNTIF(Cálculo!$B$6:$B$36,$A6)&gt;0,TEXT(_xlfn.MINIFS(Cálculo!$A$6:$A$36,Cálculo!$B$6:$B$36,$A6,Cálculo!$C$6:$C$36,1),"dd/mm")&amp;" a "&amp;TEXT(_xlfn.MAXIFS(Cálculo!$A$6:$A$36,Cálculo!$B$6:$B$36,$A6,Cálculo!$C$6:$C$36,1),"dd/mm"),"")</f>
        <v>01/10 a 02/10</v>
      </c>
      <c r="C6" s="29" t="n">
        <f aca="false">IF(COUNTIF(Cálculo!$B$6:$B$36,$A6)&gt;0,COUNTIFS(Cálculo!$B$6:$B$36,$A6,Cálculo!$C$6:$C$36,1),"")</f>
        <v>2</v>
      </c>
      <c r="D6" s="23" t="n">
        <f aca="false">IF(AND(COUNTIF(Cálculo!$B$6:$B$36,$A6)&gt;0,ISNUMBER('Base de Dados'!$B$5)),INDEX(Cálculo!$M$6:$M$36,MATCH($A6,Cálculo!$B$6:$B$36,0)),"")</f>
        <v>2857.14285714286</v>
      </c>
      <c r="E6" s="23" t="str">
        <f aca="false">IF(COUNTIF(Cálculo!$B$6:$B$36,$A6)&gt;0,IF(COUNTIFS('Meta Diária'!$C$6:$C$36,$A6,'Meta Diária'!$G$6:$G$36,"&lt;&gt;")=0,"",SUMIFS('Meta Diária'!$G$6:$G$36,'Meta Diária'!$C$6:$C$36,$A6)),"")</f>
        <v/>
      </c>
      <c r="F6" s="25" t="n">
        <f aca="false">IF(AND(COUNTIF(Cálculo!$B$6:$B$36,$A6)&gt;0,ISNUMBER('Base de Dados'!$E$10)),INDEX(Cálculo!$AE$6:$AE$36,MATCH($A6,Cálculo!$B$6:$B$36,0)),"")</f>
        <v>82</v>
      </c>
      <c r="G6" s="25" t="str">
        <f aca="false">IF(COUNTIF(Cálculo!$B$6:$B$36,$A6)&gt;0,IF(COUNTIFS('Meta Diária'!$C$6:$C$36,$A6,'Meta Diária'!$I$6:$I$36,"&lt;&gt;")=0,"",SUMIFS('Meta Diária'!$I$6:$I$36,'Meta Diária'!$C$6:$C$36,$A6)),"")</f>
        <v/>
      </c>
      <c r="H6" s="25" t="n">
        <f aca="false">IF(AND(COUNTIF(Cálculo!$B$6:$B$36,$A6)&gt;0,ISNUMBER('Base de Dados'!$E$11)),INDEX(Cálculo!$AX$6:$AX$36,MATCH($A6,Cálculo!$B$6:$B$36,0)),"")</f>
        <v>16</v>
      </c>
      <c r="I6" s="25" t="str">
        <f aca="false">IF(COUNTIF(Cálculo!$B$6:$B$36,$A6)&gt;0,IF(COUNTIFS('Meta Diária'!$C$6:$C$36,$A6,'Meta Diária'!$K$6:$K$36,"&lt;&gt;")=0,"",SUMIFS('Meta Diária'!$K$6:$K$36,'Meta Diária'!$C$6:$C$36,$A6)),"")</f>
        <v/>
      </c>
      <c r="J6" s="25" t="n">
        <f aca="false">IF(AND(COUNTIF(Cálculo!$B$6:$B$36,$A6)&gt;0,ISNUMBER('Base de Dados'!$E$12)),INDEX(Cálculo!$BQ$6:$BQ$36,MATCH($A6,Cálculo!$B$6:$B$36,0)),"")</f>
        <v>10</v>
      </c>
      <c r="K6" s="25" t="str">
        <f aca="false">IF(COUNTIF(Cálculo!$B$6:$B$36,$A6)&gt;0,IF(COUNTIFS('Meta Diária'!$C$6:$C$36,$A6,'Meta Diária'!$M$6:$M$36,"&lt;&gt;")=0,"",SUMIFS('Meta Diária'!$M$6:$M$36,'Meta Diária'!$C$6:$C$36,$A6)),"")</f>
        <v/>
      </c>
      <c r="L6" s="25" t="n">
        <f aca="false">IF(AND(COUNTIF(Cálculo!$B$6:$B$36,$A6)&gt;0,ISNUMBER('Base de Dados'!$E$13)),INDEX(Cálculo!$CJ$6:$CJ$36,MATCH($A6,Cálculo!$B$6:$B$36,0)),"")</f>
        <v>4</v>
      </c>
      <c r="M6" s="25" t="str">
        <f aca="false">IF(COUNTIF(Cálculo!$B$6:$B$36,$A6)&gt;0,IF(COUNTIFS('Meta Diária'!$C$6:$C$36,$A6,'Meta Diária'!$O$6:$O$36,"&lt;&gt;")=0,"",SUMIFS('Meta Diária'!$O$6:$O$36,'Meta Diária'!$C$6:$C$36,$A6)),"")</f>
        <v/>
      </c>
      <c r="N6" s="13" t="str">
        <f aca="false">IF(AND(ISNUMBER(E6),ISNUMBER(G6)),IF(G6&gt;0,E6/G6,""),"")</f>
        <v/>
      </c>
      <c r="O6" s="13" t="str">
        <f aca="false">IF(AND(ISNUMBER(E6),ISNUMBER(I6)),IF(I6&gt;0,E6/I6,""),"")</f>
        <v/>
      </c>
      <c r="P6" s="13" t="str">
        <f aca="false">IF(AND(ISNUMBER(E6),ISNUMBER(K6)),IF(K6&gt;0,E6/K6,""),"")</f>
        <v/>
      </c>
      <c r="Q6" s="13" t="str">
        <f aca="false">IF(AND(ISNUMBER(E6),ISNUMBER(M6)),IF(M6&gt;0,E6/M6,""),"")</f>
        <v/>
      </c>
    </row>
    <row r="7" customFormat="false" ht="15" hidden="false" customHeight="false" outlineLevel="0" collapsed="false">
      <c r="A7" s="27" t="n">
        <v>2</v>
      </c>
      <c r="B7" s="28" t="str">
        <f aca="false">IF(COUNTIF(Cálculo!$B$6:$B$36,$A7)&gt;0,TEXT(_xlfn.MINIFS(Cálculo!$A$6:$A$36,Cálculo!$B$6:$B$36,$A7,Cálculo!$C$6:$C$36,1),"dd/mm")&amp;" a "&amp;TEXT(_xlfn.MAXIFS(Cálculo!$A$6:$A$36,Cálculo!$B$6:$B$36,$A7,Cálculo!$C$6:$C$36,1),"dd/mm"),"")</f>
        <v>05/10 a 09/10</v>
      </c>
      <c r="C7" s="29" t="n">
        <f aca="false">IF(COUNTIF(Cálculo!$B$6:$B$36,$A7)&gt;0,COUNTIFS(Cálculo!$B$6:$B$36,$A7,Cálculo!$C$6:$C$36,1),"")</f>
        <v>5</v>
      </c>
      <c r="D7" s="23" t="n">
        <f aca="false">IF(AND(COUNTIF(Cálculo!$B$6:$B$36,$A7)&gt;0,ISNUMBER('Base de Dados'!$B$5)),INDEX(Cálculo!$M$6:$M$36,MATCH($A7,Cálculo!$B$6:$B$36,0)),"")</f>
        <v>7894.73684210526</v>
      </c>
      <c r="E7" s="23" t="str">
        <f aca="false">IF(COUNTIF(Cálculo!$B$6:$B$36,$A7)&gt;0,IF(COUNTIFS('Meta Diária'!$C$6:$C$36,$A7,'Meta Diária'!$G$6:$G$36,"&lt;&gt;")=0,"",SUMIFS('Meta Diária'!$G$6:$G$36,'Meta Diária'!$C$6:$C$36,$A7)),"")</f>
        <v/>
      </c>
      <c r="F7" s="25" t="n">
        <f aca="false">IF(AND(COUNTIF(Cálculo!$B$6:$B$36,$A7)&gt;0,ISNUMBER('Base de Dados'!$E$10)),INDEX(Cálculo!$AE$6:$AE$36,MATCH($A7,Cálculo!$B$6:$B$36,0)),"")</f>
        <v>228</v>
      </c>
      <c r="G7" s="25" t="str">
        <f aca="false">IF(COUNTIF(Cálculo!$B$6:$B$36,$A7)&gt;0,IF(COUNTIFS('Meta Diária'!$C$6:$C$36,$A7,'Meta Diária'!$I$6:$I$36,"&lt;&gt;")=0,"",SUMIFS('Meta Diária'!$I$6:$I$36,'Meta Diária'!$C$6:$C$36,$A7)),"")</f>
        <v/>
      </c>
      <c r="H7" s="25" t="n">
        <f aca="false">IF(AND(COUNTIF(Cálculo!$B$6:$B$36,$A7)&gt;0,ISNUMBER('Base de Dados'!$E$11)),INDEX(Cálculo!$AX$6:$AX$36,MATCH($A7,Cálculo!$B$6:$B$36,0)),"")</f>
        <v>46</v>
      </c>
      <c r="I7" s="25" t="str">
        <f aca="false">IF(COUNTIF(Cálculo!$B$6:$B$36,$A7)&gt;0,IF(COUNTIFS('Meta Diária'!$C$6:$C$36,$A7,'Meta Diária'!$K$6:$K$36,"&lt;&gt;")=0,"",SUMIFS('Meta Diária'!$K$6:$K$36,'Meta Diária'!$C$6:$C$36,$A7)),"")</f>
        <v/>
      </c>
      <c r="J7" s="25" t="n">
        <f aca="false">IF(AND(COUNTIF(Cálculo!$B$6:$B$36,$A7)&gt;0,ISNUMBER('Base de Dados'!$E$12)),INDEX(Cálculo!$BQ$6:$BQ$36,MATCH($A7,Cálculo!$B$6:$B$36,0)),"")</f>
        <v>30</v>
      </c>
      <c r="K7" s="25" t="str">
        <f aca="false">IF(COUNTIF(Cálculo!$B$6:$B$36,$A7)&gt;0,IF(COUNTIFS('Meta Diária'!$C$6:$C$36,$A7,'Meta Diária'!$M$6:$M$36,"&lt;&gt;")=0,"",SUMIFS('Meta Diária'!$M$6:$M$36,'Meta Diária'!$C$6:$C$36,$A7)),"")</f>
        <v/>
      </c>
      <c r="L7" s="25" t="n">
        <f aca="false">IF(AND(COUNTIF(Cálculo!$B$6:$B$36,$A7)&gt;0,ISNUMBER('Base de Dados'!$E$13)),INDEX(Cálculo!$CJ$6:$CJ$36,MATCH($A7,Cálculo!$B$6:$B$36,0)),"")</f>
        <v>10</v>
      </c>
      <c r="M7" s="25" t="str">
        <f aca="false">IF(COUNTIF(Cálculo!$B$6:$B$36,$A7)&gt;0,IF(COUNTIFS('Meta Diária'!$C$6:$C$36,$A7,'Meta Diária'!$O$6:$O$36,"&lt;&gt;")=0,"",SUMIFS('Meta Diária'!$O$6:$O$36,'Meta Diária'!$C$6:$C$36,$A7)),"")</f>
        <v/>
      </c>
      <c r="N7" s="13" t="str">
        <f aca="false">IF(AND(ISNUMBER(E7),ISNUMBER(G7)),IF(G7&gt;0,E7/G7,""),"")</f>
        <v/>
      </c>
      <c r="O7" s="13" t="str">
        <f aca="false">IF(AND(ISNUMBER(E7),ISNUMBER(I7)),IF(I7&gt;0,E7/I7,""),"")</f>
        <v/>
      </c>
      <c r="P7" s="13" t="str">
        <f aca="false">IF(AND(ISNUMBER(E7),ISNUMBER(K7)),IF(K7&gt;0,E7/K7,""),"")</f>
        <v/>
      </c>
      <c r="Q7" s="13" t="str">
        <f aca="false">IF(AND(ISNUMBER(E7),ISNUMBER(M7)),IF(M7&gt;0,E7/M7,""),"")</f>
        <v/>
      </c>
    </row>
    <row r="8" customFormat="false" ht="15" hidden="false" customHeight="false" outlineLevel="0" collapsed="false">
      <c r="A8" s="27" t="n">
        <v>3</v>
      </c>
      <c r="B8" s="28" t="str">
        <f aca="false">IF(COUNTIF(Cálculo!$B$6:$B$36,$A8)&gt;0,TEXT(_xlfn.MINIFS(Cálculo!$A$6:$A$36,Cálculo!$B$6:$B$36,$A8,Cálculo!$C$6:$C$36,1),"dd/mm")&amp;" a "&amp;TEXT(_xlfn.MAXIFS(Cálculo!$A$6:$A$36,Cálculo!$B$6:$B$36,$A8,Cálculo!$C$6:$C$36,1),"dd/mm"),"")</f>
        <v>13/10 a 16/10</v>
      </c>
      <c r="C8" s="29" t="n">
        <f aca="false">IF(COUNTIF(Cálculo!$B$6:$B$36,$A8)&gt;0,COUNTIFS(Cálculo!$B$6:$B$36,$A8,Cálculo!$C$6:$C$36,1),"")</f>
        <v>4</v>
      </c>
      <c r="D8" s="23" t="n">
        <f aca="false">IF(AND(COUNTIF(Cálculo!$B$6:$B$36,$A8)&gt;0,ISNUMBER('Base de Dados'!$B$5)),INDEX(Cálculo!$M$6:$M$36,MATCH($A8,Cálculo!$B$6:$B$36,0)),"")</f>
        <v>8571.42857142857</v>
      </c>
      <c r="E8" s="23" t="str">
        <f aca="false">IF(COUNTIF(Cálculo!$B$6:$B$36,$A8)&gt;0,IF(COUNTIFS('Meta Diária'!$C$6:$C$36,$A8,'Meta Diária'!$G$6:$G$36,"&lt;&gt;")=0,"",SUMIFS('Meta Diária'!$G$6:$G$36,'Meta Diária'!$C$6:$C$36,$A8)),"")</f>
        <v/>
      </c>
      <c r="F8" s="25" t="n">
        <f aca="false">IF(AND(COUNTIF(Cálculo!$B$6:$B$36,$A8)&gt;0,ISNUMBER('Base de Dados'!$E$10)),INDEX(Cálculo!$AE$6:$AE$36,MATCH($A8,Cálculo!$B$6:$B$36,0)),"")</f>
        <v>248</v>
      </c>
      <c r="G8" s="25" t="str">
        <f aca="false">IF(COUNTIF(Cálculo!$B$6:$B$36,$A8)&gt;0,IF(COUNTIFS('Meta Diária'!$C$6:$C$36,$A8,'Meta Diária'!$I$6:$I$36,"&lt;&gt;")=0,"",SUMIFS('Meta Diária'!$I$6:$I$36,'Meta Diária'!$C$6:$C$36,$A8)),"")</f>
        <v/>
      </c>
      <c r="H8" s="25" t="n">
        <f aca="false">IF(AND(COUNTIF(Cálculo!$B$6:$B$36,$A8)&gt;0,ISNUMBER('Base de Dados'!$E$11)),INDEX(Cálculo!$AX$6:$AX$36,MATCH($A8,Cálculo!$B$6:$B$36,0)),"")</f>
        <v>52</v>
      </c>
      <c r="I8" s="25" t="str">
        <f aca="false">IF(COUNTIF(Cálculo!$B$6:$B$36,$A8)&gt;0,IF(COUNTIFS('Meta Diária'!$C$6:$C$36,$A8,'Meta Diária'!$K$6:$K$36,"&lt;&gt;")=0,"",SUMIFS('Meta Diária'!$K$6:$K$36,'Meta Diária'!$C$6:$C$36,$A8)),"")</f>
        <v/>
      </c>
      <c r="J8" s="25" t="n">
        <f aca="false">IF(AND(COUNTIF(Cálculo!$B$6:$B$36,$A8)&gt;0,ISNUMBER('Base de Dados'!$E$12)),INDEX(Cálculo!$BQ$6:$BQ$36,MATCH($A8,Cálculo!$B$6:$B$36,0)),"")</f>
        <v>32</v>
      </c>
      <c r="K8" s="25" t="str">
        <f aca="false">IF(COUNTIF(Cálculo!$B$6:$B$36,$A8)&gt;0,IF(COUNTIFS('Meta Diária'!$C$6:$C$36,$A8,'Meta Diária'!$M$6:$M$36,"&lt;&gt;")=0,"",SUMIFS('Meta Diária'!$M$6:$M$36,'Meta Diária'!$C$6:$C$36,$A8)),"")</f>
        <v/>
      </c>
      <c r="L8" s="25" t="n">
        <f aca="false">IF(AND(COUNTIF(Cálculo!$B$6:$B$36,$A8)&gt;0,ISNUMBER('Base de Dados'!$E$13)),INDEX(Cálculo!$CJ$6:$CJ$36,MATCH($A8,Cálculo!$B$6:$B$36,0)),"")</f>
        <v>12</v>
      </c>
      <c r="M8" s="25" t="str">
        <f aca="false">IF(COUNTIF(Cálculo!$B$6:$B$36,$A8)&gt;0,IF(COUNTIFS('Meta Diária'!$C$6:$C$36,$A8,'Meta Diária'!$O$6:$O$36,"&lt;&gt;")=0,"",SUMIFS('Meta Diária'!$O$6:$O$36,'Meta Diária'!$C$6:$C$36,$A8)),"")</f>
        <v/>
      </c>
      <c r="N8" s="13" t="str">
        <f aca="false">IF(AND(ISNUMBER(E8),ISNUMBER(G8)),IF(G8&gt;0,E8/G8,""),"")</f>
        <v/>
      </c>
      <c r="O8" s="13" t="str">
        <f aca="false">IF(AND(ISNUMBER(E8),ISNUMBER(I8)),IF(I8&gt;0,E8/I8,""),"")</f>
        <v/>
      </c>
      <c r="P8" s="13" t="str">
        <f aca="false">IF(AND(ISNUMBER(E8),ISNUMBER(K8)),IF(K8&gt;0,E8/K8,""),"")</f>
        <v/>
      </c>
      <c r="Q8" s="13" t="str">
        <f aca="false">IF(AND(ISNUMBER(E8),ISNUMBER(M8)),IF(M8&gt;0,E8/M8,""),"")</f>
        <v/>
      </c>
    </row>
    <row r="9" customFormat="false" ht="15" hidden="false" customHeight="false" outlineLevel="0" collapsed="false">
      <c r="A9" s="27" t="n">
        <v>4</v>
      </c>
      <c r="B9" s="28" t="str">
        <f aca="false">IF(COUNTIF(Cálculo!$B$6:$B$36,$A9)&gt;0,TEXT(_xlfn.MINIFS(Cálculo!$A$6:$A$36,Cálculo!$B$6:$B$36,$A9,Cálculo!$C$6:$C$36,1),"dd/mm")&amp;" a "&amp;TEXT(_xlfn.MAXIFS(Cálculo!$A$6:$A$36,Cálculo!$B$6:$B$36,$A9,Cálculo!$C$6:$C$36,1),"dd/mm"),"")</f>
        <v>19/10 a 23/10</v>
      </c>
      <c r="C9" s="29" t="n">
        <f aca="false">IF(COUNTIF(Cálculo!$B$6:$B$36,$A9)&gt;0,COUNTIFS(Cálculo!$B$6:$B$36,$A9,Cálculo!$C$6:$C$36,1),"")</f>
        <v>5</v>
      </c>
      <c r="D9" s="23" t="n">
        <f aca="false">IF(AND(COUNTIF(Cálculo!$B$6:$B$36,$A9)&gt;0,ISNUMBER('Base de Dados'!$B$5)),INDEX(Cálculo!$M$6:$M$36,MATCH($A9,Cálculo!$B$6:$B$36,0)),"")</f>
        <v>10714.2857142857</v>
      </c>
      <c r="E9" s="23" t="str">
        <f aca="false">IF(COUNTIF(Cálculo!$B$6:$B$36,$A9)&gt;0,IF(COUNTIFS('Meta Diária'!$C$6:$C$36,$A9,'Meta Diária'!$G$6:$G$36,"&lt;&gt;")=0,"",SUMIFS('Meta Diária'!$G$6:$G$36,'Meta Diária'!$C$6:$C$36,$A9)),"")</f>
        <v/>
      </c>
      <c r="F9" s="25" t="n">
        <f aca="false">IF(AND(COUNTIF(Cálculo!$B$6:$B$36,$A9)&gt;0,ISNUMBER('Base de Dados'!$E$10)),INDEX(Cálculo!$AE$6:$AE$36,MATCH($A9,Cálculo!$B$6:$B$36,0)),"")</f>
        <v>305</v>
      </c>
      <c r="G9" s="25" t="str">
        <f aca="false">IF(COUNTIF(Cálculo!$B$6:$B$36,$A9)&gt;0,IF(COUNTIFS('Meta Diária'!$C$6:$C$36,$A9,'Meta Diária'!$I$6:$I$36,"&lt;&gt;")=0,"",SUMIFS('Meta Diária'!$I$6:$I$36,'Meta Diária'!$C$6:$C$36,$A9)),"")</f>
        <v/>
      </c>
      <c r="H9" s="25" t="n">
        <f aca="false">IF(AND(COUNTIF(Cálculo!$B$6:$B$36,$A9)&gt;0,ISNUMBER('Base de Dados'!$E$11)),INDEX(Cálculo!$AX$6:$AX$36,MATCH($A9,Cálculo!$B$6:$B$36,0)),"")</f>
        <v>60</v>
      </c>
      <c r="I9" s="25" t="str">
        <f aca="false">IF(COUNTIF(Cálculo!$B$6:$B$36,$A9)&gt;0,IF(COUNTIFS('Meta Diária'!$C$6:$C$36,$A9,'Meta Diária'!$K$6:$K$36,"&lt;&gt;")=0,"",SUMIFS('Meta Diária'!$K$6:$K$36,'Meta Diária'!$C$6:$C$36,$A9)),"")</f>
        <v/>
      </c>
      <c r="J9" s="25" t="n">
        <f aca="false">IF(AND(COUNTIF(Cálculo!$B$6:$B$36,$A9)&gt;0,ISNUMBER('Base de Dados'!$E$12)),INDEX(Cálculo!$BQ$6:$BQ$36,MATCH($A9,Cálculo!$B$6:$B$36,0)),"")</f>
        <v>37</v>
      </c>
      <c r="K9" s="25" t="str">
        <f aca="false">IF(COUNTIF(Cálculo!$B$6:$B$36,$A9)&gt;0,IF(COUNTIFS('Meta Diária'!$C$6:$C$36,$A9,'Meta Diária'!$M$6:$M$36,"&lt;&gt;")=0,"",SUMIFS('Meta Diária'!$M$6:$M$36,'Meta Diária'!$C$6:$C$36,$A9)),"")</f>
        <v/>
      </c>
      <c r="L9" s="25" t="n">
        <f aca="false">IF(AND(COUNTIF(Cálculo!$B$6:$B$36,$A9)&gt;0,ISNUMBER('Base de Dados'!$E$13)),INDEX(Cálculo!$CJ$6:$CJ$36,MATCH($A9,Cálculo!$B$6:$B$36,0)),"")</f>
        <v>10</v>
      </c>
      <c r="M9" s="25" t="str">
        <f aca="false">IF(COUNTIF(Cálculo!$B$6:$B$36,$A9)&gt;0,IF(COUNTIFS('Meta Diária'!$C$6:$C$36,$A9,'Meta Diária'!$O$6:$O$36,"&lt;&gt;")=0,"",SUMIFS('Meta Diária'!$O$6:$O$36,'Meta Diária'!$C$6:$C$36,$A9)),"")</f>
        <v/>
      </c>
      <c r="N9" s="13" t="str">
        <f aca="false">IF(AND(ISNUMBER(E9),ISNUMBER(G9)),IF(G9&gt;0,E9/G9,""),"")</f>
        <v/>
      </c>
      <c r="O9" s="13" t="str">
        <f aca="false">IF(AND(ISNUMBER(E9),ISNUMBER(I9)),IF(I9&gt;0,E9/I9,""),"")</f>
        <v/>
      </c>
      <c r="P9" s="13" t="str">
        <f aca="false">IF(AND(ISNUMBER(E9),ISNUMBER(K9)),IF(K9&gt;0,E9/K9,""),"")</f>
        <v/>
      </c>
      <c r="Q9" s="13" t="str">
        <f aca="false">IF(AND(ISNUMBER(E9),ISNUMBER(M9)),IF(M9&gt;0,E9/M9,""),"")</f>
        <v/>
      </c>
    </row>
    <row r="10" customFormat="false" ht="15" hidden="false" customHeight="false" outlineLevel="0" collapsed="false">
      <c r="A10" s="27" t="n">
        <v>5</v>
      </c>
      <c r="B10" s="28" t="str">
        <f aca="false">IF(COUNTIF(Cálculo!$B$6:$B$36,$A10)&gt;0,TEXT(_xlfn.MINIFS(Cálculo!$A$6:$A$36,Cálculo!$B$6:$B$36,$A10,Cálculo!$C$6:$C$36,1),"dd/mm")&amp;" a "&amp;TEXT(_xlfn.MAXIFS(Cálculo!$A$6:$A$36,Cálculo!$B$6:$B$36,$A10,Cálculo!$C$6:$C$36,1),"dd/mm"),"")</f>
        <v>26/10 a 30/10</v>
      </c>
      <c r="C10" s="29" t="n">
        <f aca="false">IF(COUNTIF(Cálculo!$B$6:$B$36,$A10)&gt;0,COUNTIFS(Cálculo!$B$6:$B$36,$A10,Cálculo!$C$6:$C$36,1),"")</f>
        <v>5</v>
      </c>
      <c r="D10" s="23" t="n">
        <f aca="false">IF(AND(COUNTIF(Cálculo!$B$6:$B$36,$A10)&gt;0,ISNUMBER('Base de Dados'!$B$5)),INDEX(Cálculo!$M$6:$M$36,MATCH($A10,Cálculo!$B$6:$B$36,0)),"")</f>
        <v>10714.2857142857</v>
      </c>
      <c r="E10" s="23" t="str">
        <f aca="false">IF(COUNTIF(Cálculo!$B$6:$B$36,$A10)&gt;0,IF(COUNTIFS('Meta Diária'!$C$6:$C$36,$A10,'Meta Diária'!$G$6:$G$36,"&lt;&gt;")=0,"",SUMIFS('Meta Diária'!$G$6:$G$36,'Meta Diária'!$C$6:$C$36,$A10)),"")</f>
        <v/>
      </c>
      <c r="F10" s="25" t="n">
        <f aca="false">IF(AND(COUNTIF(Cálculo!$B$6:$B$36,$A10)&gt;0,ISNUMBER('Base de Dados'!$E$10)),INDEX(Cálculo!$AE$6:$AE$36,MATCH($A10,Cálculo!$B$6:$B$36,0)),"")</f>
        <v>305</v>
      </c>
      <c r="G10" s="25" t="str">
        <f aca="false">IF(COUNTIF(Cálculo!$B$6:$B$36,$A10)&gt;0,IF(COUNTIFS('Meta Diária'!$C$6:$C$36,$A10,'Meta Diária'!$I$6:$I$36,"&lt;&gt;")=0,"",SUMIFS('Meta Diária'!$I$6:$I$36,'Meta Diária'!$C$6:$C$36,$A10)),"")</f>
        <v/>
      </c>
      <c r="H10" s="25" t="n">
        <f aca="false">IF(AND(COUNTIF(Cálculo!$B$6:$B$36,$A10)&gt;0,ISNUMBER('Base de Dados'!$E$11)),INDEX(Cálculo!$AX$6:$AX$36,MATCH($A10,Cálculo!$B$6:$B$36,0)),"")</f>
        <v>60</v>
      </c>
      <c r="I10" s="25" t="str">
        <f aca="false">IF(COUNTIF(Cálculo!$B$6:$B$36,$A10)&gt;0,IF(COUNTIFS('Meta Diária'!$C$6:$C$36,$A10,'Meta Diária'!$K$6:$K$36,"&lt;&gt;")=0,"",SUMIFS('Meta Diária'!$K$6:$K$36,'Meta Diária'!$C$6:$C$36,$A10)),"")</f>
        <v/>
      </c>
      <c r="J10" s="25" t="n">
        <f aca="false">IF(AND(COUNTIF(Cálculo!$B$6:$B$36,$A10)&gt;0,ISNUMBER('Base de Dados'!$E$12)),INDEX(Cálculo!$BQ$6:$BQ$36,MATCH($A10,Cálculo!$B$6:$B$36,0)),"")</f>
        <v>35</v>
      </c>
      <c r="K10" s="25" t="str">
        <f aca="false">IF(COUNTIF(Cálculo!$B$6:$B$36,$A10)&gt;0,IF(COUNTIFS('Meta Diária'!$C$6:$C$36,$A10,'Meta Diária'!$M$6:$M$36,"&lt;&gt;")=0,"",SUMIFS('Meta Diária'!$M$6:$M$36,'Meta Diária'!$C$6:$C$36,$A10)),"")</f>
        <v/>
      </c>
      <c r="L10" s="25" t="n">
        <f aca="false">IF(AND(COUNTIF(Cálculo!$B$6:$B$36,$A10)&gt;0,ISNUMBER('Base de Dados'!$E$13)),INDEX(Cálculo!$CJ$6:$CJ$36,MATCH($A10,Cálculo!$B$6:$B$36,0)),"")</f>
        <v>10</v>
      </c>
      <c r="M10" s="25" t="str">
        <f aca="false">IF(COUNTIF(Cálculo!$B$6:$B$36,$A10)&gt;0,IF(COUNTIFS('Meta Diária'!$C$6:$C$36,$A10,'Meta Diária'!$O$6:$O$36,"&lt;&gt;")=0,"",SUMIFS('Meta Diária'!$O$6:$O$36,'Meta Diária'!$C$6:$C$36,$A10)),"")</f>
        <v/>
      </c>
      <c r="N10" s="13" t="str">
        <f aca="false">IF(AND(ISNUMBER(E10),ISNUMBER(G10)),IF(G10&gt;0,E10/G10,""),"")</f>
        <v/>
      </c>
      <c r="O10" s="13" t="str">
        <f aca="false">IF(AND(ISNUMBER(E10),ISNUMBER(I10)),IF(I10&gt;0,E10/I10,""),"")</f>
        <v/>
      </c>
      <c r="P10" s="13" t="str">
        <f aca="false">IF(AND(ISNUMBER(E10),ISNUMBER(K10)),IF(K10&gt;0,E10/K10,""),"")</f>
        <v/>
      </c>
      <c r="Q10" s="13" t="str">
        <f aca="false">IF(AND(ISNUMBER(E10),ISNUMBER(M10)),IF(M10&gt;0,E10/M10,""),"")</f>
        <v/>
      </c>
    </row>
    <row r="11" customFormat="false" ht="15" hidden="false" customHeight="false" outlineLevel="0" collapsed="false">
      <c r="A11" s="27" t="n">
        <v>6</v>
      </c>
      <c r="B11" s="28" t="str">
        <f aca="false">IF(COUNTIF(Cálculo!$B$6:$B$36,$A11)&gt;0,TEXT(_xlfn.MINIFS(Cálculo!$A$6:$A$36,Cálculo!$B$6:$B$36,$A11,Cálculo!$C$6:$C$36,1),"dd/mm")&amp;" a "&amp;TEXT(_xlfn.MAXIFS(Cálculo!$A$6:$A$36,Cálculo!$B$6:$B$36,$A11,Cálculo!$C$6:$C$36,1),"dd/mm"),"")</f>
        <v/>
      </c>
      <c r="C11" s="29" t="str">
        <f aca="false">IF(COUNTIF(Cálculo!$B$6:$B$36,$A11)&gt;0,COUNTIFS(Cálculo!$B$6:$B$36,$A11,Cálculo!$C$6:$C$36,1),"")</f>
        <v/>
      </c>
      <c r="D11" s="23" t="str">
        <f aca="false">IF(AND(COUNTIF(Cálculo!$B$6:$B$36,$A11)&gt;0,ISNUMBER('Base de Dados'!$B$5)),INDEX(Cálculo!$M$6:$M$36,MATCH($A11,Cálculo!$B$6:$B$36,0)),"")</f>
        <v/>
      </c>
      <c r="E11" s="23" t="str">
        <f aca="false">IF(COUNTIF(Cálculo!$B$6:$B$36,$A11)&gt;0,IF(COUNTIFS('Meta Diária'!$C$6:$C$36,$A11,'Meta Diária'!$G$6:$G$36,"&lt;&gt;")=0,"",SUMIFS('Meta Diária'!$G$6:$G$36,'Meta Diária'!$C$6:$C$36,$A11)),"")</f>
        <v/>
      </c>
      <c r="F11" s="25" t="str">
        <f aca="false">IF(AND(COUNTIF(Cálculo!$B$6:$B$36,$A11)&gt;0,ISNUMBER('Base de Dados'!$E$10)),INDEX(Cálculo!$AE$6:$AE$36,MATCH($A11,Cálculo!$B$6:$B$36,0)),"")</f>
        <v/>
      </c>
      <c r="G11" s="25" t="str">
        <f aca="false">IF(COUNTIF(Cálculo!$B$6:$B$36,$A11)&gt;0,IF(COUNTIFS('Meta Diária'!$C$6:$C$36,$A11,'Meta Diária'!$I$6:$I$36,"&lt;&gt;")=0,"",SUMIFS('Meta Diária'!$I$6:$I$36,'Meta Diária'!$C$6:$C$36,$A11)),"")</f>
        <v/>
      </c>
      <c r="H11" s="25" t="str">
        <f aca="false">IF(AND(COUNTIF(Cálculo!$B$6:$B$36,$A11)&gt;0,ISNUMBER('Base de Dados'!$E$11)),INDEX(Cálculo!$AX$6:$AX$36,MATCH($A11,Cálculo!$B$6:$B$36,0)),"")</f>
        <v/>
      </c>
      <c r="I11" s="25" t="str">
        <f aca="false">IF(COUNTIF(Cálculo!$B$6:$B$36,$A11)&gt;0,IF(COUNTIFS('Meta Diária'!$C$6:$C$36,$A11,'Meta Diária'!$K$6:$K$36,"&lt;&gt;")=0,"",SUMIFS('Meta Diária'!$K$6:$K$36,'Meta Diária'!$C$6:$C$36,$A11)),"")</f>
        <v/>
      </c>
      <c r="J11" s="25" t="str">
        <f aca="false">IF(AND(COUNTIF(Cálculo!$B$6:$B$36,$A11)&gt;0,ISNUMBER('Base de Dados'!$E$12)),INDEX(Cálculo!$BQ$6:$BQ$36,MATCH($A11,Cálculo!$B$6:$B$36,0)),"")</f>
        <v/>
      </c>
      <c r="K11" s="25" t="str">
        <f aca="false">IF(COUNTIF(Cálculo!$B$6:$B$36,$A11)&gt;0,IF(COUNTIFS('Meta Diária'!$C$6:$C$36,$A11,'Meta Diária'!$M$6:$M$36,"&lt;&gt;")=0,"",SUMIFS('Meta Diária'!$M$6:$M$36,'Meta Diária'!$C$6:$C$36,$A11)),"")</f>
        <v/>
      </c>
      <c r="L11" s="25" t="str">
        <f aca="false">IF(AND(COUNTIF(Cálculo!$B$6:$B$36,$A11)&gt;0,ISNUMBER('Base de Dados'!$E$13)),INDEX(Cálculo!$CJ$6:$CJ$36,MATCH($A11,Cálculo!$B$6:$B$36,0)),"")</f>
        <v/>
      </c>
      <c r="M11" s="25" t="str">
        <f aca="false">IF(COUNTIF(Cálculo!$B$6:$B$36,$A11)&gt;0,IF(COUNTIFS('Meta Diária'!$C$6:$C$36,$A11,'Meta Diária'!$O$6:$O$36,"&lt;&gt;")=0,"",SUMIFS('Meta Diária'!$O$6:$O$36,'Meta Diária'!$C$6:$C$36,$A11)),"")</f>
        <v/>
      </c>
      <c r="N11" s="13" t="str">
        <f aca="false">IF(AND(ISNUMBER(E11),ISNUMBER(G11)),IF(G11&gt;0,E11/G11,""),"")</f>
        <v/>
      </c>
      <c r="O11" s="13" t="str">
        <f aca="false">IF(AND(ISNUMBER(E11),ISNUMBER(I11)),IF(I11&gt;0,E11/I11,""),"")</f>
        <v/>
      </c>
      <c r="P11" s="13" t="str">
        <f aca="false">IF(AND(ISNUMBER(E11),ISNUMBER(K11)),IF(K11&gt;0,E11/K11,""),"")</f>
        <v/>
      </c>
      <c r="Q11" s="13" t="str">
        <f aca="false">IF(AND(ISNUMBER(E11),ISNUMBER(M11)),IF(M11&gt;0,E11/M11,""),"")</f>
        <v/>
      </c>
    </row>
    <row r="12" customFormat="false" ht="15" hidden="false" customHeight="false" outlineLevel="0" collapsed="false">
      <c r="A12" s="30" t="s">
        <v>43</v>
      </c>
      <c r="B12" s="30" t="str">
        <f aca="false">TEXT('Base de Dados'!$B$4,"mm/yyyy")</f>
        <v>10/2026</v>
      </c>
      <c r="C12" s="31" t="n">
        <f aca="false">Cálculo!B2</f>
        <v>21</v>
      </c>
      <c r="D12" s="32" t="n">
        <f aca="false">IF(ISNUMBER('Base de Dados'!$B$5),'Base de Dados'!$B$5,"")</f>
        <v>30000</v>
      </c>
      <c r="E12" s="33" t="str">
        <f aca="false">IF(COUNT(E6:E11)=0,"",SUM(E6:E11))</f>
        <v/>
      </c>
      <c r="F12" s="34" t="n">
        <f aca="false">IF(ISNUMBER('Base de Dados'!$E$10),'Base de Dados'!$E$10,"")</f>
        <v>858</v>
      </c>
      <c r="G12" s="35" t="str">
        <f aca="false">IF(COUNT(G6:G11)=0,"",SUM(G6:G11))</f>
        <v/>
      </c>
      <c r="H12" s="34" t="n">
        <f aca="false">IF(ISNUMBER('Base de Dados'!$E$11),'Base de Dados'!$E$11,"")</f>
        <v>172</v>
      </c>
      <c r="I12" s="35" t="str">
        <f aca="false">IF(COUNT(I6:I11)=0,"",SUM(I6:I11))</f>
        <v/>
      </c>
      <c r="J12" s="34" t="n">
        <f aca="false">IF(ISNUMBER('Base de Dados'!$E$12),'Base de Dados'!$E$12,"")</f>
        <v>104</v>
      </c>
      <c r="K12" s="35" t="str">
        <f aca="false">IF(COUNT(K6:K11)=0,"",SUM(K6:K11))</f>
        <v/>
      </c>
      <c r="L12" s="34" t="n">
        <f aca="false">IF(ISNUMBER('Base de Dados'!$E$13),'Base de Dados'!$E$13,"")</f>
        <v>32</v>
      </c>
      <c r="M12" s="35" t="str">
        <f aca="false">IF(COUNT(M6:M11)=0,"",SUM(M6:M11))</f>
        <v/>
      </c>
      <c r="N12" s="33" t="str">
        <f aca="false">IF(AND(ISNUMBER(E12),ISNUMBER(G12)),IF(G12&gt;0,E12/G12,""),"")</f>
        <v/>
      </c>
      <c r="O12" s="33" t="str">
        <f aca="false">IF(AND(ISNUMBER(E12),ISNUMBER(I12)),IF(I12&gt;0,E12/I12,""),"")</f>
        <v/>
      </c>
      <c r="P12" s="33" t="str">
        <f aca="false">IF(AND(ISNUMBER(E12),ISNUMBER(K12)),IF(K12&gt;0,E12/K12,""),"")</f>
        <v/>
      </c>
      <c r="Q12" s="33" t="str">
        <f aca="false">IF(AND(ISNUMBER(E12),ISNUMBER(M12)),IF(M12&gt;0,E12/M12,""),"")</f>
        <v/>
      </c>
    </row>
  </sheetData>
  <conditionalFormatting sqref="E6:E11">
    <cfRule type="expression" priority="2" aboveAverage="0" equalAverage="0" bottom="0" percent="0" rank="0" text="" dxfId="0">
      <formula>AND(ISNUMBER(E6),ISNUMBER(D6),D6&gt;0,E6&gt;=D6)</formula>
    </cfRule>
    <cfRule type="expression" priority="3" aboveAverage="0" equalAverage="0" bottom="0" percent="0" rank="0" text="" dxfId="1">
      <formula>AND(ISNUMBER(E6),ISNUMBER(D6),E6&gt;=D6*0.7)</formula>
    </cfRule>
    <cfRule type="expression" priority="4" aboveAverage="0" equalAverage="0" bottom="0" percent="0" rank="0" text="" dxfId="2">
      <formula>AND(ISNUMBER(E6),ISNUMBER(D6))</formula>
    </cfRule>
  </conditionalFormatting>
  <conditionalFormatting sqref="G6:G11">
    <cfRule type="expression" priority="5" aboveAverage="0" equalAverage="0" bottom="0" percent="0" rank="0" text="" dxfId="0">
      <formula>AND(ISNUMBER(G6),ISNUMBER(F6),F6&gt;0,G6&gt;=F6)</formula>
    </cfRule>
    <cfRule type="expression" priority="6" aboveAverage="0" equalAverage="0" bottom="0" percent="0" rank="0" text="" dxfId="1">
      <formula>AND(ISNUMBER(G6),ISNUMBER(F6),G6&gt;=F6*0.7)</formula>
    </cfRule>
    <cfRule type="expression" priority="7" aboveAverage="0" equalAverage="0" bottom="0" percent="0" rank="0" text="" dxfId="2">
      <formula>AND(ISNUMBER(G6),ISNUMBER(F6))</formula>
    </cfRule>
  </conditionalFormatting>
  <conditionalFormatting sqref="I6:I11">
    <cfRule type="expression" priority="8" aboveAverage="0" equalAverage="0" bottom="0" percent="0" rank="0" text="" dxfId="0">
      <formula>AND(ISNUMBER(I6),ISNUMBER(H6),H6&gt;0,I6&gt;=H6)</formula>
    </cfRule>
    <cfRule type="expression" priority="9" aboveAverage="0" equalAverage="0" bottom="0" percent="0" rank="0" text="" dxfId="1">
      <formula>AND(ISNUMBER(I6),ISNUMBER(H6),I6&gt;=H6*0.7)</formula>
    </cfRule>
    <cfRule type="expression" priority="10" aboveAverage="0" equalAverage="0" bottom="0" percent="0" rank="0" text="" dxfId="2">
      <formula>AND(ISNUMBER(I6),ISNUMBER(H6))</formula>
    </cfRule>
  </conditionalFormatting>
  <conditionalFormatting sqref="K6:K11">
    <cfRule type="expression" priority="11" aboveAverage="0" equalAverage="0" bottom="0" percent="0" rank="0" text="" dxfId="0">
      <formula>AND(ISNUMBER(K6),ISNUMBER(J6),J6&gt;0,K6&gt;=J6)</formula>
    </cfRule>
    <cfRule type="expression" priority="12" aboveAverage="0" equalAverage="0" bottom="0" percent="0" rank="0" text="" dxfId="1">
      <formula>AND(ISNUMBER(K6),ISNUMBER(J6),K6&gt;=J6*0.7)</formula>
    </cfRule>
    <cfRule type="expression" priority="13" aboveAverage="0" equalAverage="0" bottom="0" percent="0" rank="0" text="" dxfId="2">
      <formula>AND(ISNUMBER(K6),ISNUMBER(J6))</formula>
    </cfRule>
  </conditionalFormatting>
  <conditionalFormatting sqref="M6:M11">
    <cfRule type="expression" priority="14" aboveAverage="0" equalAverage="0" bottom="0" percent="0" rank="0" text="" dxfId="0">
      <formula>AND(ISNUMBER(M6),ISNUMBER(L6),L6&gt;0,M6&gt;=L6)</formula>
    </cfRule>
    <cfRule type="expression" priority="15" aboveAverage="0" equalAverage="0" bottom="0" percent="0" rank="0" text="" dxfId="1">
      <formula>AND(ISNUMBER(M6),ISNUMBER(L6),M6&gt;=L6*0.7)</formula>
    </cfRule>
    <cfRule type="expression" priority="16" aboveAverage="0" equalAverage="0" bottom="0" percent="0" rank="0" text="" dxfId="2">
      <formula>AND(ISNUMBER(M6),ISNUMBER(L6))</formula>
    </cfRule>
  </conditionalFormatting>
  <conditionalFormatting sqref="N6:N11">
    <cfRule type="expression" priority="17" aboveAverage="0" equalAverage="0" bottom="0" percent="0" rank="0" text="" dxfId="0">
      <formula>AND(ISNUMBER(N6),ISNUMBER(N$4),N6&lt;=N$4)</formula>
    </cfRule>
    <cfRule type="expression" priority="18" aboveAverage="0" equalAverage="0" bottom="0" percent="0" rank="0" text="" dxfId="1">
      <formula>AND(ISNUMBER(N6),ISNUMBER(N$4),N6&lt;=N$4*1.2)</formula>
    </cfRule>
    <cfRule type="expression" priority="19" aboveAverage="0" equalAverage="0" bottom="0" percent="0" rank="0" text="" dxfId="2">
      <formula>AND(ISNUMBER(N6),ISNUMBER(N$4))</formula>
    </cfRule>
  </conditionalFormatting>
  <conditionalFormatting sqref="O6:O11">
    <cfRule type="expression" priority="20" aboveAverage="0" equalAverage="0" bottom="0" percent="0" rank="0" text="" dxfId="0">
      <formula>AND(ISNUMBER(O6),ISNUMBER(O$4),O6&lt;=O$4)</formula>
    </cfRule>
    <cfRule type="expression" priority="21" aboveAverage="0" equalAverage="0" bottom="0" percent="0" rank="0" text="" dxfId="1">
      <formula>AND(ISNUMBER(O6),ISNUMBER(O$4),O6&lt;=O$4*1.2)</formula>
    </cfRule>
    <cfRule type="expression" priority="22" aboveAverage="0" equalAverage="0" bottom="0" percent="0" rank="0" text="" dxfId="2">
      <formula>AND(ISNUMBER(O6),ISNUMBER(O$4))</formula>
    </cfRule>
  </conditionalFormatting>
  <conditionalFormatting sqref="P6:P11">
    <cfRule type="expression" priority="23" aboveAverage="0" equalAverage="0" bottom="0" percent="0" rank="0" text="" dxfId="0">
      <formula>AND(ISNUMBER(P6),ISNUMBER(P$4),P6&lt;=P$4)</formula>
    </cfRule>
    <cfRule type="expression" priority="24" aboveAverage="0" equalAverage="0" bottom="0" percent="0" rank="0" text="" dxfId="1">
      <formula>AND(ISNUMBER(P6),ISNUMBER(P$4),P6&lt;=P$4*1.2)</formula>
    </cfRule>
    <cfRule type="expression" priority="25" aboveAverage="0" equalAverage="0" bottom="0" percent="0" rank="0" text="" dxfId="2">
      <formula>AND(ISNUMBER(P6),ISNUMBER(P$4))</formula>
    </cfRule>
  </conditionalFormatting>
  <conditionalFormatting sqref="Q6:Q11">
    <cfRule type="expression" priority="26" aboveAverage="0" equalAverage="0" bottom="0" percent="0" rank="0" text="" dxfId="0">
      <formula>AND(ISNUMBER(Q6),ISNUMBER(Q$4),Q6&lt;=Q$4)</formula>
    </cfRule>
    <cfRule type="expression" priority="27" aboveAverage="0" equalAverage="0" bottom="0" percent="0" rank="0" text="" dxfId="1">
      <formula>AND(ISNUMBER(Q6),ISNUMBER(Q$4),Q6&lt;=Q$4*1.2)</formula>
    </cfRule>
    <cfRule type="expression" priority="28" aboveAverage="0" equalAverage="0" bottom="0" percent="0" rank="0" text="" dxfId="2">
      <formula>AND(ISNUMBER(Q6),ISNUMBER(Q$4))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S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19" min="6" style="0" width="15"/>
  </cols>
  <sheetData>
    <row r="1" customFormat="false" ht="19.7" hidden="false" customHeight="false" outlineLevel="0" collapsed="false">
      <c r="A1" s="1" t="str">
        <f aca="false">"Meta diária (dias úteis) · "&amp;'Base de Dados'!$B$3</f>
        <v>Meta diária (dias úteis) · [Nome do cliente]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2" t="s">
        <v>78</v>
      </c>
    </row>
    <row r="4" customFormat="false" ht="15" hidden="false" customHeight="false" outlineLevel="0" collapsed="false">
      <c r="O4" s="26" t="s">
        <v>60</v>
      </c>
      <c r="P4" s="23" t="n">
        <f aca="false">IF(ISNUMBER('Base de Dados'!$F$10),'Base de Dados'!$F$10,"")</f>
        <v>35</v>
      </c>
      <c r="Q4" s="23" t="n">
        <f aca="false">IF(ISNUMBER('Base de Dados'!$F$11),'Base de Dados'!$F$11,"")</f>
        <v>174.418604651163</v>
      </c>
      <c r="R4" s="23" t="n">
        <f aca="false">IF(ISNUMBER('Base de Dados'!$F$12),'Base de Dados'!$F$12,"")</f>
        <v>288.461538461538</v>
      </c>
      <c r="S4" s="23" t="n">
        <f aca="false">IF(ISNUMBER('Base de Dados'!$F$13),'Base de Dados'!$F$13,"")</f>
        <v>937.5</v>
      </c>
    </row>
    <row r="5" customFormat="false" ht="42" hidden="false" customHeight="true" outlineLevel="0" collapsed="false">
      <c r="A5" s="9" t="s">
        <v>79</v>
      </c>
      <c r="B5" s="9" t="s">
        <v>80</v>
      </c>
      <c r="C5" s="9" t="s">
        <v>61</v>
      </c>
      <c r="D5" s="9" t="s">
        <v>81</v>
      </c>
      <c r="E5" s="9" t="s">
        <v>82</v>
      </c>
      <c r="F5" s="9" t="s">
        <v>83</v>
      </c>
      <c r="G5" s="9" t="s">
        <v>64</v>
      </c>
      <c r="H5" s="9" t="s">
        <v>84</v>
      </c>
      <c r="I5" s="9" t="s">
        <v>66</v>
      </c>
      <c r="J5" s="9" t="s">
        <v>85</v>
      </c>
      <c r="K5" s="9" t="s">
        <v>68</v>
      </c>
      <c r="L5" s="9" t="s">
        <v>86</v>
      </c>
      <c r="M5" s="9" t="s">
        <v>70</v>
      </c>
      <c r="N5" s="9" t="s">
        <v>87</v>
      </c>
      <c r="O5" s="9" t="s">
        <v>72</v>
      </c>
      <c r="P5" s="9" t="s">
        <v>73</v>
      </c>
      <c r="Q5" s="9" t="s">
        <v>74</v>
      </c>
      <c r="R5" s="9" t="s">
        <v>75</v>
      </c>
      <c r="S5" s="9" t="s">
        <v>76</v>
      </c>
    </row>
    <row r="6" customFormat="false" ht="15" hidden="false" customHeight="false" outlineLevel="0" collapsed="false">
      <c r="A6" s="22" t="n">
        <f aca="false">IF(Cálculo!A6="","",Cálculo!A6)</f>
        <v>46296</v>
      </c>
      <c r="B6" s="28" t="str">
        <f aca="false">IF(A6="","",CHOOSE(WEEKDAY(A6,2),"Seg","Ter","Qua","Qui","Sex","Sáb","Dom"))</f>
        <v>Qui</v>
      </c>
      <c r="C6" s="36" t="n">
        <f aca="false">IF(A6="","",Cálculo!B6)</f>
        <v>1</v>
      </c>
      <c r="D6" s="11" t="str">
        <f aca="false">IF(A6="","",IF(Cálculo!C6=1,CHOOSE(WEEKDAY(A6,2),"Meta da Semana","Foco no Atendimento","Revisão da Semana","Foco no Atendimento","Relatório da Semana"),IF(COUNTIF(Folgas!$A$5:$A$300,A6)&gt;0,"Feriado / folga","Fim de semana")))</f>
        <v>Foco no Atendimento</v>
      </c>
      <c r="E6" s="28" t="str">
        <f aca="false">IF(A6="","",IF(Cálculo!C6=1,"Sim","Não"))</f>
        <v>Sim</v>
      </c>
      <c r="F6" s="23" t="n">
        <f aca="false">IF(OR($E6&lt;&gt;"Sim",NOT(ISNUMBER('Base de Dados'!$B$5))),"",Cálculo!O6)</f>
        <v>1428.57142857143</v>
      </c>
      <c r="G6" s="6"/>
      <c r="H6" s="25" t="n">
        <f aca="false">IF(OR($E6&lt;&gt;"Sim",NOT(ISNUMBER('Base de Dados'!$E$10))),"",Cálculo!AH6)</f>
        <v>41</v>
      </c>
      <c r="I6" s="37"/>
      <c r="J6" s="25" t="n">
        <f aca="false">IF(OR($E6&lt;&gt;"Sim",NOT(ISNUMBER('Base de Dados'!$E$11))),"",Cálculo!BA6)</f>
        <v>8</v>
      </c>
      <c r="K6" s="37"/>
      <c r="L6" s="25" t="n">
        <f aca="false">IF(OR($E6&lt;&gt;"Sim",NOT(ISNUMBER('Base de Dados'!$E$12))),"",Cálculo!BT6)</f>
        <v>5</v>
      </c>
      <c r="M6" s="37"/>
      <c r="N6" s="25" t="n">
        <f aca="false">IF(OR($E6&lt;&gt;"Sim",NOT(ISNUMBER('Base de Dados'!$E$13))),"",Cálculo!CM6)</f>
        <v>2</v>
      </c>
      <c r="O6" s="37"/>
      <c r="P6" s="13" t="str">
        <f aca="false">IF(AND(ISNUMBER(G6),ISNUMBER(I6)),IF(I6&gt;0,G6/I6,""),"")</f>
        <v/>
      </c>
      <c r="Q6" s="13" t="str">
        <f aca="false">IF(AND(ISNUMBER(G6),ISNUMBER(K6)),IF(K6&gt;0,G6/K6,""),"")</f>
        <v/>
      </c>
      <c r="R6" s="13" t="str">
        <f aca="false">IF(AND(ISNUMBER(G6),ISNUMBER(M6)),IF(M6&gt;0,G6/M6,""),"")</f>
        <v/>
      </c>
      <c r="S6" s="13" t="str">
        <f aca="false">IF(AND(ISNUMBER(G6),ISNUMBER(O6)),IF(O6&gt;0,G6/O6,""),"")</f>
        <v/>
      </c>
    </row>
    <row r="7" customFormat="false" ht="15" hidden="false" customHeight="false" outlineLevel="0" collapsed="false">
      <c r="A7" s="22" t="n">
        <f aca="false">IF(Cálculo!A7="","",Cálculo!A7)</f>
        <v>46297</v>
      </c>
      <c r="B7" s="28" t="str">
        <f aca="false">IF(A7="","",CHOOSE(WEEKDAY(A7,2),"Seg","Ter","Qua","Qui","Sex","Sáb","Dom"))</f>
        <v>Sex</v>
      </c>
      <c r="C7" s="36" t="n">
        <f aca="false">IF(A7="","",Cálculo!B7)</f>
        <v>1</v>
      </c>
      <c r="D7" s="11" t="str">
        <f aca="false">IF(A7="","",IF(Cálculo!C7=1,CHOOSE(WEEKDAY(A7,2),"Meta da Semana","Foco no Atendimento","Revisão da Semana","Foco no Atendimento","Relatório da Semana"),IF(COUNTIF(Folgas!$A$5:$A$300,A7)&gt;0,"Feriado / folga","Fim de semana")))</f>
        <v>Relatório da Semana</v>
      </c>
      <c r="E7" s="28" t="str">
        <f aca="false">IF(A7="","",IF(Cálculo!C7=1,"Sim","Não"))</f>
        <v>Sim</v>
      </c>
      <c r="F7" s="23" t="n">
        <f aca="false">IF(OR($E7&lt;&gt;"Sim",NOT(ISNUMBER('Base de Dados'!$B$5))),"",Cálculo!O7)</f>
        <v>2857.14285714286</v>
      </c>
      <c r="G7" s="6"/>
      <c r="H7" s="25" t="n">
        <f aca="false">IF(OR($E7&lt;&gt;"Sim",NOT(ISNUMBER('Base de Dados'!$E$10))),"",Cálculo!AH7)</f>
        <v>82</v>
      </c>
      <c r="I7" s="37"/>
      <c r="J7" s="25" t="n">
        <f aca="false">IF(OR($E7&lt;&gt;"Sim",NOT(ISNUMBER('Base de Dados'!$E$11))),"",Cálculo!BA7)</f>
        <v>16</v>
      </c>
      <c r="K7" s="37"/>
      <c r="L7" s="25" t="n">
        <f aca="false">IF(OR($E7&lt;&gt;"Sim",NOT(ISNUMBER('Base de Dados'!$E$12))),"",Cálculo!BT7)</f>
        <v>10</v>
      </c>
      <c r="M7" s="37"/>
      <c r="N7" s="25" t="n">
        <f aca="false">IF(OR($E7&lt;&gt;"Sim",NOT(ISNUMBER('Base de Dados'!$E$13))),"",Cálculo!CM7)</f>
        <v>4</v>
      </c>
      <c r="O7" s="37"/>
      <c r="P7" s="13" t="str">
        <f aca="false">IF(AND(ISNUMBER(G7),ISNUMBER(I7)),IF(I7&gt;0,G7/I7,""),"")</f>
        <v/>
      </c>
      <c r="Q7" s="13" t="str">
        <f aca="false">IF(AND(ISNUMBER(G7),ISNUMBER(K7)),IF(K7&gt;0,G7/K7,""),"")</f>
        <v/>
      </c>
      <c r="R7" s="13" t="str">
        <f aca="false">IF(AND(ISNUMBER(G7),ISNUMBER(M7)),IF(M7&gt;0,G7/M7,""),"")</f>
        <v/>
      </c>
      <c r="S7" s="13" t="str">
        <f aca="false">IF(AND(ISNUMBER(G7),ISNUMBER(O7)),IF(O7&gt;0,G7/O7,""),"")</f>
        <v/>
      </c>
    </row>
    <row r="8" customFormat="false" ht="15" hidden="false" customHeight="false" outlineLevel="0" collapsed="false">
      <c r="A8" s="22" t="n">
        <f aca="false">IF(Cálculo!A8="","",Cálculo!A8)</f>
        <v>46298</v>
      </c>
      <c r="B8" s="28" t="str">
        <f aca="false">IF(A8="","",CHOOSE(WEEKDAY(A8,2),"Seg","Ter","Qua","Qui","Sex","Sáb","Dom"))</f>
        <v>Sáb</v>
      </c>
      <c r="C8" s="36" t="n">
        <f aca="false">IF(A8="","",Cálculo!B8)</f>
        <v>1</v>
      </c>
      <c r="D8" s="11" t="str">
        <f aca="false">IF(A8="","",IF(Cálculo!C8=1,CHOOSE(WEEKDAY(A8,2),"Meta da Semana","Foco no Atendimento","Revisão da Semana","Foco no Atendimento","Relatório da Semana"),IF(COUNTIF(Folgas!$A$5:$A$300,A8)&gt;0,"Feriado / folga","Fim de semana")))</f>
        <v>Fim de semana</v>
      </c>
      <c r="E8" s="28" t="str">
        <f aca="false">IF(A8="","",IF(Cálculo!C8=1,"Sim","Não"))</f>
        <v>Não</v>
      </c>
      <c r="F8" s="23" t="str">
        <f aca="false">IF(OR($E8&lt;&gt;"Sim",NOT(ISNUMBER('Base de Dados'!$B$5))),"",Cálculo!O8)</f>
        <v/>
      </c>
      <c r="G8" s="6"/>
      <c r="H8" s="25" t="str">
        <f aca="false">IF(OR($E8&lt;&gt;"Sim",NOT(ISNUMBER('Base de Dados'!$E$10))),"",Cálculo!AH8)</f>
        <v/>
      </c>
      <c r="I8" s="37"/>
      <c r="J8" s="25" t="str">
        <f aca="false">IF(OR($E8&lt;&gt;"Sim",NOT(ISNUMBER('Base de Dados'!$E$11))),"",Cálculo!BA8)</f>
        <v/>
      </c>
      <c r="K8" s="37"/>
      <c r="L8" s="25" t="str">
        <f aca="false">IF(OR($E8&lt;&gt;"Sim",NOT(ISNUMBER('Base de Dados'!$E$12))),"",Cálculo!BT8)</f>
        <v/>
      </c>
      <c r="M8" s="37"/>
      <c r="N8" s="25" t="str">
        <f aca="false">IF(OR($E8&lt;&gt;"Sim",NOT(ISNUMBER('Base de Dados'!$E$13))),"",Cálculo!CM8)</f>
        <v/>
      </c>
      <c r="O8" s="37"/>
      <c r="P8" s="13" t="str">
        <f aca="false">IF(AND(ISNUMBER(G8),ISNUMBER(I8)),IF(I8&gt;0,G8/I8,""),"")</f>
        <v/>
      </c>
      <c r="Q8" s="13" t="str">
        <f aca="false">IF(AND(ISNUMBER(G8),ISNUMBER(K8)),IF(K8&gt;0,G8/K8,""),"")</f>
        <v/>
      </c>
      <c r="R8" s="13" t="str">
        <f aca="false">IF(AND(ISNUMBER(G8),ISNUMBER(M8)),IF(M8&gt;0,G8/M8,""),"")</f>
        <v/>
      </c>
      <c r="S8" s="13" t="str">
        <f aca="false">IF(AND(ISNUMBER(G8),ISNUMBER(O8)),IF(O8&gt;0,G8/O8,""),"")</f>
        <v/>
      </c>
    </row>
    <row r="9" customFormat="false" ht="15" hidden="false" customHeight="false" outlineLevel="0" collapsed="false">
      <c r="A9" s="22" t="n">
        <f aca="false">IF(Cálculo!A9="","",Cálculo!A9)</f>
        <v>46299</v>
      </c>
      <c r="B9" s="28" t="str">
        <f aca="false">IF(A9="","",CHOOSE(WEEKDAY(A9,2),"Seg","Ter","Qua","Qui","Sex","Sáb","Dom"))</f>
        <v>Dom</v>
      </c>
      <c r="C9" s="36" t="n">
        <f aca="false">IF(A9="","",Cálculo!B9)</f>
        <v>1</v>
      </c>
      <c r="D9" s="11" t="str">
        <f aca="false">IF(A9="","",IF(Cálculo!C9=1,CHOOSE(WEEKDAY(A9,2),"Meta da Semana","Foco no Atendimento","Revisão da Semana","Foco no Atendimento","Relatório da Semana"),IF(COUNTIF(Folgas!$A$5:$A$300,A9)&gt;0,"Feriado / folga","Fim de semana")))</f>
        <v>Fim de semana</v>
      </c>
      <c r="E9" s="28" t="str">
        <f aca="false">IF(A9="","",IF(Cálculo!C9=1,"Sim","Não"))</f>
        <v>Não</v>
      </c>
      <c r="F9" s="23" t="str">
        <f aca="false">IF(OR($E9&lt;&gt;"Sim",NOT(ISNUMBER('Base de Dados'!$B$5))),"",Cálculo!O9)</f>
        <v/>
      </c>
      <c r="G9" s="6"/>
      <c r="H9" s="25" t="str">
        <f aca="false">IF(OR($E9&lt;&gt;"Sim",NOT(ISNUMBER('Base de Dados'!$E$10))),"",Cálculo!AH9)</f>
        <v/>
      </c>
      <c r="I9" s="37"/>
      <c r="J9" s="25" t="str">
        <f aca="false">IF(OR($E9&lt;&gt;"Sim",NOT(ISNUMBER('Base de Dados'!$E$11))),"",Cálculo!BA9)</f>
        <v/>
      </c>
      <c r="K9" s="37"/>
      <c r="L9" s="25" t="str">
        <f aca="false">IF(OR($E9&lt;&gt;"Sim",NOT(ISNUMBER('Base de Dados'!$E$12))),"",Cálculo!BT9)</f>
        <v/>
      </c>
      <c r="M9" s="37"/>
      <c r="N9" s="25" t="str">
        <f aca="false">IF(OR($E9&lt;&gt;"Sim",NOT(ISNUMBER('Base de Dados'!$E$13))),"",Cálculo!CM9)</f>
        <v/>
      </c>
      <c r="O9" s="37"/>
      <c r="P9" s="13" t="str">
        <f aca="false">IF(AND(ISNUMBER(G9),ISNUMBER(I9)),IF(I9&gt;0,G9/I9,""),"")</f>
        <v/>
      </c>
      <c r="Q9" s="13" t="str">
        <f aca="false">IF(AND(ISNUMBER(G9),ISNUMBER(K9)),IF(K9&gt;0,G9/K9,""),"")</f>
        <v/>
      </c>
      <c r="R9" s="13" t="str">
        <f aca="false">IF(AND(ISNUMBER(G9),ISNUMBER(M9)),IF(M9&gt;0,G9/M9,""),"")</f>
        <v/>
      </c>
      <c r="S9" s="13" t="str">
        <f aca="false">IF(AND(ISNUMBER(G9),ISNUMBER(O9)),IF(O9&gt;0,G9/O9,""),"")</f>
        <v/>
      </c>
    </row>
    <row r="10" customFormat="false" ht="15" hidden="false" customHeight="false" outlineLevel="0" collapsed="false">
      <c r="A10" s="22" t="n">
        <f aca="false">IF(Cálculo!A10="","",Cálculo!A10)</f>
        <v>46300</v>
      </c>
      <c r="B10" s="28" t="str">
        <f aca="false">IF(A10="","",CHOOSE(WEEKDAY(A10,2),"Seg","Ter","Qua","Qui","Sex","Sáb","Dom"))</f>
        <v>Seg</v>
      </c>
      <c r="C10" s="36" t="n">
        <f aca="false">IF(A10="","",Cálculo!B10)</f>
        <v>2</v>
      </c>
      <c r="D10" s="11" t="str">
        <f aca="false">IF(A10="","",IF(Cálculo!C10=1,CHOOSE(WEEKDAY(A10,2),"Meta da Semana","Foco no Atendimento","Revisão da Semana","Foco no Atendimento","Relatório da Semana"),IF(COUNTIF(Folgas!$A$5:$A$300,A10)&gt;0,"Feriado / folga","Fim de semana")))</f>
        <v>Meta da Semana</v>
      </c>
      <c r="E10" s="28" t="str">
        <f aca="false">IF(A10="","",IF(Cálculo!C10=1,"Sim","Não"))</f>
        <v>Sim</v>
      </c>
      <c r="F10" s="23" t="n">
        <f aca="false">IF(OR($E10&lt;&gt;"Sim",NOT(ISNUMBER('Base de Dados'!$B$5))),"",Cálculo!O10)</f>
        <v>1578.94736842105</v>
      </c>
      <c r="G10" s="6"/>
      <c r="H10" s="25" t="n">
        <f aca="false">IF(OR($E10&lt;&gt;"Sim",NOT(ISNUMBER('Base de Dados'!$E$10))),"",Cálculo!AH10)</f>
        <v>46</v>
      </c>
      <c r="I10" s="37"/>
      <c r="J10" s="25" t="n">
        <f aca="false">IF(OR($E10&lt;&gt;"Sim",NOT(ISNUMBER('Base de Dados'!$E$11))),"",Cálculo!BA10)</f>
        <v>9</v>
      </c>
      <c r="K10" s="37"/>
      <c r="L10" s="25" t="n">
        <f aca="false">IF(OR($E10&lt;&gt;"Sim",NOT(ISNUMBER('Base de Dados'!$E$12))),"",Cálculo!BT10)</f>
        <v>6</v>
      </c>
      <c r="M10" s="37"/>
      <c r="N10" s="25" t="n">
        <f aca="false">IF(OR($E10&lt;&gt;"Sim",NOT(ISNUMBER('Base de Dados'!$E$13))),"",Cálculo!CM10)</f>
        <v>2</v>
      </c>
      <c r="O10" s="37"/>
      <c r="P10" s="13" t="str">
        <f aca="false">IF(AND(ISNUMBER(G10),ISNUMBER(I10)),IF(I10&gt;0,G10/I10,""),"")</f>
        <v/>
      </c>
      <c r="Q10" s="13" t="str">
        <f aca="false">IF(AND(ISNUMBER(G10),ISNUMBER(K10)),IF(K10&gt;0,G10/K10,""),"")</f>
        <v/>
      </c>
      <c r="R10" s="13" t="str">
        <f aca="false">IF(AND(ISNUMBER(G10),ISNUMBER(M10)),IF(M10&gt;0,G10/M10,""),"")</f>
        <v/>
      </c>
      <c r="S10" s="13" t="str">
        <f aca="false">IF(AND(ISNUMBER(G10),ISNUMBER(O10)),IF(O10&gt;0,G10/O10,""),"")</f>
        <v/>
      </c>
    </row>
    <row r="11" customFormat="false" ht="15" hidden="false" customHeight="false" outlineLevel="0" collapsed="false">
      <c r="A11" s="22" t="n">
        <f aca="false">IF(Cálculo!A11="","",Cálculo!A11)</f>
        <v>46301</v>
      </c>
      <c r="B11" s="28" t="str">
        <f aca="false">IF(A11="","",CHOOSE(WEEKDAY(A11,2),"Seg","Ter","Qua","Qui","Sex","Sáb","Dom"))</f>
        <v>Ter</v>
      </c>
      <c r="C11" s="36" t="n">
        <f aca="false">IF(A11="","",Cálculo!B11)</f>
        <v>2</v>
      </c>
      <c r="D11" s="11" t="str">
        <f aca="false">IF(A11="","",IF(Cálculo!C11=1,CHOOSE(WEEKDAY(A11,2),"Meta da Semana","Foco no Atendimento","Revisão da Semana","Foco no Atendimento","Relatório da Semana"),IF(COUNTIF(Folgas!$A$5:$A$300,A11)&gt;0,"Feriado / folga","Fim de semana")))</f>
        <v>Foco no Atendimento</v>
      </c>
      <c r="E11" s="28" t="str">
        <f aca="false">IF(A11="","",IF(Cálculo!C11=1,"Sim","Não"))</f>
        <v>Sim</v>
      </c>
      <c r="F11" s="23" t="n">
        <f aca="false">IF(OR($E11&lt;&gt;"Sim",NOT(ISNUMBER('Base de Dados'!$B$5))),"",Cálculo!O11)</f>
        <v>1973.68421052632</v>
      </c>
      <c r="G11" s="6"/>
      <c r="H11" s="25" t="n">
        <f aca="false">IF(OR($E11&lt;&gt;"Sim",NOT(ISNUMBER('Base de Dados'!$E$10))),"",Cálculo!AH11)</f>
        <v>57</v>
      </c>
      <c r="I11" s="37"/>
      <c r="J11" s="25" t="n">
        <f aca="false">IF(OR($E11&lt;&gt;"Sim",NOT(ISNUMBER('Base de Dados'!$E$11))),"",Cálculo!BA11)</f>
        <v>12</v>
      </c>
      <c r="K11" s="37"/>
      <c r="L11" s="25" t="n">
        <f aca="false">IF(OR($E11&lt;&gt;"Sim",NOT(ISNUMBER('Base de Dados'!$E$12))),"",Cálculo!BT11)</f>
        <v>8</v>
      </c>
      <c r="M11" s="37"/>
      <c r="N11" s="25" t="n">
        <f aca="false">IF(OR($E11&lt;&gt;"Sim",NOT(ISNUMBER('Base de Dados'!$E$13))),"",Cálculo!CM11)</f>
        <v>3</v>
      </c>
      <c r="O11" s="37"/>
      <c r="P11" s="13" t="str">
        <f aca="false">IF(AND(ISNUMBER(G11),ISNUMBER(I11)),IF(I11&gt;0,G11/I11,""),"")</f>
        <v/>
      </c>
      <c r="Q11" s="13" t="str">
        <f aca="false">IF(AND(ISNUMBER(G11),ISNUMBER(K11)),IF(K11&gt;0,G11/K11,""),"")</f>
        <v/>
      </c>
      <c r="R11" s="13" t="str">
        <f aca="false">IF(AND(ISNUMBER(G11),ISNUMBER(M11)),IF(M11&gt;0,G11/M11,""),"")</f>
        <v/>
      </c>
      <c r="S11" s="13" t="str">
        <f aca="false">IF(AND(ISNUMBER(G11),ISNUMBER(O11)),IF(O11&gt;0,G11/O11,""),"")</f>
        <v/>
      </c>
    </row>
    <row r="12" customFormat="false" ht="15" hidden="false" customHeight="false" outlineLevel="0" collapsed="false">
      <c r="A12" s="22" t="n">
        <f aca="false">IF(Cálculo!A12="","",Cálculo!A12)</f>
        <v>46302</v>
      </c>
      <c r="B12" s="28" t="str">
        <f aca="false">IF(A12="","",CHOOSE(WEEKDAY(A12,2),"Seg","Ter","Qua","Qui","Sex","Sáb","Dom"))</f>
        <v>Qua</v>
      </c>
      <c r="C12" s="36" t="n">
        <f aca="false">IF(A12="","",Cálculo!B12)</f>
        <v>2</v>
      </c>
      <c r="D12" s="11" t="str">
        <f aca="false">IF(A12="","",IF(Cálculo!C12=1,CHOOSE(WEEKDAY(A12,2),"Meta da Semana","Foco no Atendimento","Revisão da Semana","Foco no Atendimento","Relatório da Semana"),IF(COUNTIF(Folgas!$A$5:$A$300,A12)&gt;0,"Feriado / folga","Fim de semana")))</f>
        <v>Revisão da Semana</v>
      </c>
      <c r="E12" s="28" t="str">
        <f aca="false">IF(A12="","",IF(Cálculo!C12=1,"Sim","Não"))</f>
        <v>Sim</v>
      </c>
      <c r="F12" s="23" t="n">
        <f aca="false">IF(OR($E12&lt;&gt;"Sim",NOT(ISNUMBER('Base de Dados'!$B$5))),"",Cálculo!O12)</f>
        <v>2631.57894736842</v>
      </c>
      <c r="G12" s="6"/>
      <c r="H12" s="25" t="n">
        <f aca="false">IF(OR($E12&lt;&gt;"Sim",NOT(ISNUMBER('Base de Dados'!$E$10))),"",Cálculo!AH12)</f>
        <v>76</v>
      </c>
      <c r="I12" s="37"/>
      <c r="J12" s="25" t="n">
        <f aca="false">IF(OR($E12&lt;&gt;"Sim",NOT(ISNUMBER('Base de Dados'!$E$11))),"",Cálculo!BA12)</f>
        <v>16</v>
      </c>
      <c r="K12" s="37"/>
      <c r="L12" s="25" t="n">
        <f aca="false">IF(OR($E12&lt;&gt;"Sim",NOT(ISNUMBER('Base de Dados'!$E$12))),"",Cálculo!BT12)</f>
        <v>10</v>
      </c>
      <c r="M12" s="37"/>
      <c r="N12" s="25" t="n">
        <f aca="false">IF(OR($E12&lt;&gt;"Sim",NOT(ISNUMBER('Base de Dados'!$E$13))),"",Cálculo!CM12)</f>
        <v>4</v>
      </c>
      <c r="O12" s="37"/>
      <c r="P12" s="13" t="str">
        <f aca="false">IF(AND(ISNUMBER(G12),ISNUMBER(I12)),IF(I12&gt;0,G12/I12,""),"")</f>
        <v/>
      </c>
      <c r="Q12" s="13" t="str">
        <f aca="false">IF(AND(ISNUMBER(G12),ISNUMBER(K12)),IF(K12&gt;0,G12/K12,""),"")</f>
        <v/>
      </c>
      <c r="R12" s="13" t="str">
        <f aca="false">IF(AND(ISNUMBER(G12),ISNUMBER(M12)),IF(M12&gt;0,G12/M12,""),"")</f>
        <v/>
      </c>
      <c r="S12" s="13" t="str">
        <f aca="false">IF(AND(ISNUMBER(G12),ISNUMBER(O12)),IF(O12&gt;0,G12/O12,""),"")</f>
        <v/>
      </c>
    </row>
    <row r="13" customFormat="false" ht="15" hidden="false" customHeight="false" outlineLevel="0" collapsed="false">
      <c r="A13" s="22" t="n">
        <f aca="false">IF(Cálculo!A13="","",Cálculo!A13)</f>
        <v>46303</v>
      </c>
      <c r="B13" s="28" t="str">
        <f aca="false">IF(A13="","",CHOOSE(WEEKDAY(A13,2),"Seg","Ter","Qua","Qui","Sex","Sáb","Dom"))</f>
        <v>Qui</v>
      </c>
      <c r="C13" s="36" t="n">
        <f aca="false">IF(A13="","",Cálculo!B13)</f>
        <v>2</v>
      </c>
      <c r="D13" s="11" t="str">
        <f aca="false">IF(A13="","",IF(Cálculo!C13=1,CHOOSE(WEEKDAY(A13,2),"Meta da Semana","Foco no Atendimento","Revisão da Semana","Foco no Atendimento","Relatório da Semana"),IF(COUNTIF(Folgas!$A$5:$A$300,A13)&gt;0,"Feriado / folga","Fim de semana")))</f>
        <v>Foco no Atendimento</v>
      </c>
      <c r="E13" s="28" t="str">
        <f aca="false">IF(A13="","",IF(Cálculo!C13=1,"Sim","Não"))</f>
        <v>Sim</v>
      </c>
      <c r="F13" s="23" t="n">
        <f aca="false">IF(OR($E13&lt;&gt;"Sim",NOT(ISNUMBER('Base de Dados'!$B$5))),"",Cálculo!O13)</f>
        <v>3947.36842105263</v>
      </c>
      <c r="G13" s="6"/>
      <c r="H13" s="25" t="n">
        <f aca="false">IF(OR($E13&lt;&gt;"Sim",NOT(ISNUMBER('Base de Dados'!$E$10))),"",Cálculo!AH13)</f>
        <v>114</v>
      </c>
      <c r="I13" s="37"/>
      <c r="J13" s="25" t="n">
        <f aca="false">IF(OR($E13&lt;&gt;"Sim",NOT(ISNUMBER('Base de Dados'!$E$11))),"",Cálculo!BA13)</f>
        <v>23</v>
      </c>
      <c r="K13" s="37"/>
      <c r="L13" s="25" t="n">
        <f aca="false">IF(OR($E13&lt;&gt;"Sim",NOT(ISNUMBER('Base de Dados'!$E$12))),"",Cálculo!BT13)</f>
        <v>15</v>
      </c>
      <c r="M13" s="37"/>
      <c r="N13" s="25" t="n">
        <f aca="false">IF(OR($E13&lt;&gt;"Sim",NOT(ISNUMBER('Base de Dados'!$E$13))),"",Cálculo!CM13)</f>
        <v>5</v>
      </c>
      <c r="O13" s="37"/>
      <c r="P13" s="13" t="str">
        <f aca="false">IF(AND(ISNUMBER(G13),ISNUMBER(I13)),IF(I13&gt;0,G13/I13,""),"")</f>
        <v/>
      </c>
      <c r="Q13" s="13" t="str">
        <f aca="false">IF(AND(ISNUMBER(G13),ISNUMBER(K13)),IF(K13&gt;0,G13/K13,""),"")</f>
        <v/>
      </c>
      <c r="R13" s="13" t="str">
        <f aca="false">IF(AND(ISNUMBER(G13),ISNUMBER(M13)),IF(M13&gt;0,G13/M13,""),"")</f>
        <v/>
      </c>
      <c r="S13" s="13" t="str">
        <f aca="false">IF(AND(ISNUMBER(G13),ISNUMBER(O13)),IF(O13&gt;0,G13/O13,""),"")</f>
        <v/>
      </c>
    </row>
    <row r="14" customFormat="false" ht="15" hidden="false" customHeight="false" outlineLevel="0" collapsed="false">
      <c r="A14" s="22" t="n">
        <f aca="false">IF(Cálculo!A14="","",Cálculo!A14)</f>
        <v>46304</v>
      </c>
      <c r="B14" s="28" t="str">
        <f aca="false">IF(A14="","",CHOOSE(WEEKDAY(A14,2),"Seg","Ter","Qua","Qui","Sex","Sáb","Dom"))</f>
        <v>Sex</v>
      </c>
      <c r="C14" s="36" t="n">
        <f aca="false">IF(A14="","",Cálculo!B14)</f>
        <v>2</v>
      </c>
      <c r="D14" s="11" t="str">
        <f aca="false">IF(A14="","",IF(Cálculo!C14=1,CHOOSE(WEEKDAY(A14,2),"Meta da Semana","Foco no Atendimento","Revisão da Semana","Foco no Atendimento","Relatório da Semana"),IF(COUNTIF(Folgas!$A$5:$A$300,A14)&gt;0,"Feriado / folga","Fim de semana")))</f>
        <v>Relatório da Semana</v>
      </c>
      <c r="E14" s="28" t="str">
        <f aca="false">IF(A14="","",IF(Cálculo!C14=1,"Sim","Não"))</f>
        <v>Sim</v>
      </c>
      <c r="F14" s="23" t="n">
        <f aca="false">IF(OR($E14&lt;&gt;"Sim",NOT(ISNUMBER('Base de Dados'!$B$5))),"",Cálculo!O14)</f>
        <v>7894.73684210526</v>
      </c>
      <c r="G14" s="6"/>
      <c r="H14" s="25" t="n">
        <f aca="false">IF(OR($E14&lt;&gt;"Sim",NOT(ISNUMBER('Base de Dados'!$E$10))),"",Cálculo!AH14)</f>
        <v>228</v>
      </c>
      <c r="I14" s="37"/>
      <c r="J14" s="25" t="n">
        <f aca="false">IF(OR($E14&lt;&gt;"Sim",NOT(ISNUMBER('Base de Dados'!$E$11))),"",Cálculo!BA14)</f>
        <v>46</v>
      </c>
      <c r="K14" s="37"/>
      <c r="L14" s="25" t="n">
        <f aca="false">IF(OR($E14&lt;&gt;"Sim",NOT(ISNUMBER('Base de Dados'!$E$12))),"",Cálculo!BT14)</f>
        <v>30</v>
      </c>
      <c r="M14" s="37"/>
      <c r="N14" s="25" t="n">
        <f aca="false">IF(OR($E14&lt;&gt;"Sim",NOT(ISNUMBER('Base de Dados'!$E$13))),"",Cálculo!CM14)</f>
        <v>10</v>
      </c>
      <c r="O14" s="37"/>
      <c r="P14" s="13" t="str">
        <f aca="false">IF(AND(ISNUMBER(G14),ISNUMBER(I14)),IF(I14&gt;0,G14/I14,""),"")</f>
        <v/>
      </c>
      <c r="Q14" s="13" t="str">
        <f aca="false">IF(AND(ISNUMBER(G14),ISNUMBER(K14)),IF(K14&gt;0,G14/K14,""),"")</f>
        <v/>
      </c>
      <c r="R14" s="13" t="str">
        <f aca="false">IF(AND(ISNUMBER(G14),ISNUMBER(M14)),IF(M14&gt;0,G14/M14,""),"")</f>
        <v/>
      </c>
      <c r="S14" s="13" t="str">
        <f aca="false">IF(AND(ISNUMBER(G14),ISNUMBER(O14)),IF(O14&gt;0,G14/O14,""),"")</f>
        <v/>
      </c>
    </row>
    <row r="15" customFormat="false" ht="15" hidden="false" customHeight="false" outlineLevel="0" collapsed="false">
      <c r="A15" s="22" t="n">
        <f aca="false">IF(Cálculo!A15="","",Cálculo!A15)</f>
        <v>46305</v>
      </c>
      <c r="B15" s="28" t="str">
        <f aca="false">IF(A15="","",CHOOSE(WEEKDAY(A15,2),"Seg","Ter","Qua","Qui","Sex","Sáb","Dom"))</f>
        <v>Sáb</v>
      </c>
      <c r="C15" s="36" t="n">
        <f aca="false">IF(A15="","",Cálculo!B15)</f>
        <v>2</v>
      </c>
      <c r="D15" s="11" t="str">
        <f aca="false">IF(A15="","",IF(Cálculo!C15=1,CHOOSE(WEEKDAY(A15,2),"Meta da Semana","Foco no Atendimento","Revisão da Semana","Foco no Atendimento","Relatório da Semana"),IF(COUNTIF(Folgas!$A$5:$A$300,A15)&gt;0,"Feriado / folga","Fim de semana")))</f>
        <v>Fim de semana</v>
      </c>
      <c r="E15" s="28" t="str">
        <f aca="false">IF(A15="","",IF(Cálculo!C15=1,"Sim","Não"))</f>
        <v>Não</v>
      </c>
      <c r="F15" s="23" t="str">
        <f aca="false">IF(OR($E15&lt;&gt;"Sim",NOT(ISNUMBER('Base de Dados'!$B$5))),"",Cálculo!O15)</f>
        <v/>
      </c>
      <c r="G15" s="6"/>
      <c r="H15" s="25" t="str">
        <f aca="false">IF(OR($E15&lt;&gt;"Sim",NOT(ISNUMBER('Base de Dados'!$E$10))),"",Cálculo!AH15)</f>
        <v/>
      </c>
      <c r="I15" s="37"/>
      <c r="J15" s="25" t="str">
        <f aca="false">IF(OR($E15&lt;&gt;"Sim",NOT(ISNUMBER('Base de Dados'!$E$11))),"",Cálculo!BA15)</f>
        <v/>
      </c>
      <c r="K15" s="37"/>
      <c r="L15" s="25" t="str">
        <f aca="false">IF(OR($E15&lt;&gt;"Sim",NOT(ISNUMBER('Base de Dados'!$E$12))),"",Cálculo!BT15)</f>
        <v/>
      </c>
      <c r="M15" s="37"/>
      <c r="N15" s="25" t="str">
        <f aca="false">IF(OR($E15&lt;&gt;"Sim",NOT(ISNUMBER('Base de Dados'!$E$13))),"",Cálculo!CM15)</f>
        <v/>
      </c>
      <c r="O15" s="37"/>
      <c r="P15" s="13" t="str">
        <f aca="false">IF(AND(ISNUMBER(G15),ISNUMBER(I15)),IF(I15&gt;0,G15/I15,""),"")</f>
        <v/>
      </c>
      <c r="Q15" s="13" t="str">
        <f aca="false">IF(AND(ISNUMBER(G15),ISNUMBER(K15)),IF(K15&gt;0,G15/K15,""),"")</f>
        <v/>
      </c>
      <c r="R15" s="13" t="str">
        <f aca="false">IF(AND(ISNUMBER(G15),ISNUMBER(M15)),IF(M15&gt;0,G15/M15,""),"")</f>
        <v/>
      </c>
      <c r="S15" s="13" t="str">
        <f aca="false">IF(AND(ISNUMBER(G15),ISNUMBER(O15)),IF(O15&gt;0,G15/O15,""),"")</f>
        <v/>
      </c>
    </row>
    <row r="16" customFormat="false" ht="15" hidden="false" customHeight="false" outlineLevel="0" collapsed="false">
      <c r="A16" s="22" t="n">
        <f aca="false">IF(Cálculo!A16="","",Cálculo!A16)</f>
        <v>46306</v>
      </c>
      <c r="B16" s="28" t="str">
        <f aca="false">IF(A16="","",CHOOSE(WEEKDAY(A16,2),"Seg","Ter","Qua","Qui","Sex","Sáb","Dom"))</f>
        <v>Dom</v>
      </c>
      <c r="C16" s="36" t="n">
        <f aca="false">IF(A16="","",Cálculo!B16)</f>
        <v>2</v>
      </c>
      <c r="D16" s="11" t="str">
        <f aca="false">IF(A16="","",IF(Cálculo!C16=1,CHOOSE(WEEKDAY(A16,2),"Meta da Semana","Foco no Atendimento","Revisão da Semana","Foco no Atendimento","Relatório da Semana"),IF(COUNTIF(Folgas!$A$5:$A$300,A16)&gt;0,"Feriado / folga","Fim de semana")))</f>
        <v>Fim de semana</v>
      </c>
      <c r="E16" s="28" t="str">
        <f aca="false">IF(A16="","",IF(Cálculo!C16=1,"Sim","Não"))</f>
        <v>Não</v>
      </c>
      <c r="F16" s="23" t="str">
        <f aca="false">IF(OR($E16&lt;&gt;"Sim",NOT(ISNUMBER('Base de Dados'!$B$5))),"",Cálculo!O16)</f>
        <v/>
      </c>
      <c r="G16" s="6"/>
      <c r="H16" s="25" t="str">
        <f aca="false">IF(OR($E16&lt;&gt;"Sim",NOT(ISNUMBER('Base de Dados'!$E$10))),"",Cálculo!AH16)</f>
        <v/>
      </c>
      <c r="I16" s="37"/>
      <c r="J16" s="25" t="str">
        <f aca="false">IF(OR($E16&lt;&gt;"Sim",NOT(ISNUMBER('Base de Dados'!$E$11))),"",Cálculo!BA16)</f>
        <v/>
      </c>
      <c r="K16" s="37"/>
      <c r="L16" s="25" t="str">
        <f aca="false">IF(OR($E16&lt;&gt;"Sim",NOT(ISNUMBER('Base de Dados'!$E$12))),"",Cálculo!BT16)</f>
        <v/>
      </c>
      <c r="M16" s="37"/>
      <c r="N16" s="25" t="str">
        <f aca="false">IF(OR($E16&lt;&gt;"Sim",NOT(ISNUMBER('Base de Dados'!$E$13))),"",Cálculo!CM16)</f>
        <v/>
      </c>
      <c r="O16" s="37"/>
      <c r="P16" s="13" t="str">
        <f aca="false">IF(AND(ISNUMBER(G16),ISNUMBER(I16)),IF(I16&gt;0,G16/I16,""),"")</f>
        <v/>
      </c>
      <c r="Q16" s="13" t="str">
        <f aca="false">IF(AND(ISNUMBER(G16),ISNUMBER(K16)),IF(K16&gt;0,G16/K16,""),"")</f>
        <v/>
      </c>
      <c r="R16" s="13" t="str">
        <f aca="false">IF(AND(ISNUMBER(G16),ISNUMBER(M16)),IF(M16&gt;0,G16/M16,""),"")</f>
        <v/>
      </c>
      <c r="S16" s="13" t="str">
        <f aca="false">IF(AND(ISNUMBER(G16),ISNUMBER(O16)),IF(O16&gt;0,G16/O16,""),"")</f>
        <v/>
      </c>
    </row>
    <row r="17" customFormat="false" ht="15" hidden="false" customHeight="false" outlineLevel="0" collapsed="false">
      <c r="A17" s="22" t="n">
        <f aca="false">IF(Cálculo!A17="","",Cálculo!A17)</f>
        <v>46307</v>
      </c>
      <c r="B17" s="28" t="str">
        <f aca="false">IF(A17="","",CHOOSE(WEEKDAY(A17,2),"Seg","Ter","Qua","Qui","Sex","Sáb","Dom"))</f>
        <v>Seg</v>
      </c>
      <c r="C17" s="36" t="n">
        <f aca="false">IF(A17="","",Cálculo!B17)</f>
        <v>3</v>
      </c>
      <c r="D17" s="11" t="str">
        <f aca="false">IF(A17="","",IF(Cálculo!C17=1,CHOOSE(WEEKDAY(A17,2),"Meta da Semana","Foco no Atendimento","Revisão da Semana","Foco no Atendimento","Relatório da Semana"),IF(COUNTIF(Folgas!$A$5:$A$300,A17)&gt;0,"Feriado / folga","Fim de semana")))</f>
        <v>Feriado / folga</v>
      </c>
      <c r="E17" s="28" t="str">
        <f aca="false">IF(A17="","",IF(Cálculo!C17=1,"Sim","Não"))</f>
        <v>Não</v>
      </c>
      <c r="F17" s="23" t="str">
        <f aca="false">IF(OR($E17&lt;&gt;"Sim",NOT(ISNUMBER('Base de Dados'!$B$5))),"",Cálculo!O17)</f>
        <v/>
      </c>
      <c r="G17" s="6"/>
      <c r="H17" s="25" t="str">
        <f aca="false">IF(OR($E17&lt;&gt;"Sim",NOT(ISNUMBER('Base de Dados'!$E$10))),"",Cálculo!AH17)</f>
        <v/>
      </c>
      <c r="I17" s="37"/>
      <c r="J17" s="25" t="str">
        <f aca="false">IF(OR($E17&lt;&gt;"Sim",NOT(ISNUMBER('Base de Dados'!$E$11))),"",Cálculo!BA17)</f>
        <v/>
      </c>
      <c r="K17" s="37"/>
      <c r="L17" s="25" t="str">
        <f aca="false">IF(OR($E17&lt;&gt;"Sim",NOT(ISNUMBER('Base de Dados'!$E$12))),"",Cálculo!BT17)</f>
        <v/>
      </c>
      <c r="M17" s="37"/>
      <c r="N17" s="25" t="str">
        <f aca="false">IF(OR($E17&lt;&gt;"Sim",NOT(ISNUMBER('Base de Dados'!$E$13))),"",Cálculo!CM17)</f>
        <v/>
      </c>
      <c r="O17" s="37"/>
      <c r="P17" s="13" t="str">
        <f aca="false">IF(AND(ISNUMBER(G17),ISNUMBER(I17)),IF(I17&gt;0,G17/I17,""),"")</f>
        <v/>
      </c>
      <c r="Q17" s="13" t="str">
        <f aca="false">IF(AND(ISNUMBER(G17),ISNUMBER(K17)),IF(K17&gt;0,G17/K17,""),"")</f>
        <v/>
      </c>
      <c r="R17" s="13" t="str">
        <f aca="false">IF(AND(ISNUMBER(G17),ISNUMBER(M17)),IF(M17&gt;0,G17/M17,""),"")</f>
        <v/>
      </c>
      <c r="S17" s="13" t="str">
        <f aca="false">IF(AND(ISNUMBER(G17),ISNUMBER(O17)),IF(O17&gt;0,G17/O17,""),"")</f>
        <v/>
      </c>
    </row>
    <row r="18" customFormat="false" ht="15" hidden="false" customHeight="false" outlineLevel="0" collapsed="false">
      <c r="A18" s="22" t="n">
        <f aca="false">IF(Cálculo!A18="","",Cálculo!A18)</f>
        <v>46308</v>
      </c>
      <c r="B18" s="28" t="str">
        <f aca="false">IF(A18="","",CHOOSE(WEEKDAY(A18,2),"Seg","Ter","Qua","Qui","Sex","Sáb","Dom"))</f>
        <v>Ter</v>
      </c>
      <c r="C18" s="36" t="n">
        <f aca="false">IF(A18="","",Cálculo!B18)</f>
        <v>3</v>
      </c>
      <c r="D18" s="11" t="str">
        <f aca="false">IF(A18="","",IF(Cálculo!C18=1,CHOOSE(WEEKDAY(A18,2),"Meta da Semana","Foco no Atendimento","Revisão da Semana","Foco no Atendimento","Relatório da Semana"),IF(COUNTIF(Folgas!$A$5:$A$300,A18)&gt;0,"Feriado / folga","Fim de semana")))</f>
        <v>Foco no Atendimento</v>
      </c>
      <c r="E18" s="28" t="str">
        <f aca="false">IF(A18="","",IF(Cálculo!C18=1,"Sim","Não"))</f>
        <v>Sim</v>
      </c>
      <c r="F18" s="23" t="n">
        <f aca="false">IF(OR($E18&lt;&gt;"Sim",NOT(ISNUMBER('Base de Dados'!$B$5))),"",Cálculo!O18)</f>
        <v>2142.85714285714</v>
      </c>
      <c r="G18" s="6"/>
      <c r="H18" s="25" t="n">
        <f aca="false">IF(OR($E18&lt;&gt;"Sim",NOT(ISNUMBER('Base de Dados'!$E$10))),"",Cálculo!AH18)</f>
        <v>62</v>
      </c>
      <c r="I18" s="37"/>
      <c r="J18" s="25" t="n">
        <f aca="false">IF(OR($E18&lt;&gt;"Sim",NOT(ISNUMBER('Base de Dados'!$E$11))),"",Cálculo!BA18)</f>
        <v>13</v>
      </c>
      <c r="K18" s="37"/>
      <c r="L18" s="25" t="n">
        <f aca="false">IF(OR($E18&lt;&gt;"Sim",NOT(ISNUMBER('Base de Dados'!$E$12))),"",Cálculo!BT18)</f>
        <v>8</v>
      </c>
      <c r="M18" s="37"/>
      <c r="N18" s="25" t="n">
        <f aca="false">IF(OR($E18&lt;&gt;"Sim",NOT(ISNUMBER('Base de Dados'!$E$13))),"",Cálculo!CM18)</f>
        <v>3</v>
      </c>
      <c r="O18" s="37"/>
      <c r="P18" s="13" t="str">
        <f aca="false">IF(AND(ISNUMBER(G18),ISNUMBER(I18)),IF(I18&gt;0,G18/I18,""),"")</f>
        <v/>
      </c>
      <c r="Q18" s="13" t="str">
        <f aca="false">IF(AND(ISNUMBER(G18),ISNUMBER(K18)),IF(K18&gt;0,G18/K18,""),"")</f>
        <v/>
      </c>
      <c r="R18" s="13" t="str">
        <f aca="false">IF(AND(ISNUMBER(G18),ISNUMBER(M18)),IF(M18&gt;0,G18/M18,""),"")</f>
        <v/>
      </c>
      <c r="S18" s="13" t="str">
        <f aca="false">IF(AND(ISNUMBER(G18),ISNUMBER(O18)),IF(O18&gt;0,G18/O18,""),"")</f>
        <v/>
      </c>
    </row>
    <row r="19" customFormat="false" ht="15" hidden="false" customHeight="false" outlineLevel="0" collapsed="false">
      <c r="A19" s="22" t="n">
        <f aca="false">IF(Cálculo!A19="","",Cálculo!A19)</f>
        <v>46309</v>
      </c>
      <c r="B19" s="28" t="str">
        <f aca="false">IF(A19="","",CHOOSE(WEEKDAY(A19,2),"Seg","Ter","Qua","Qui","Sex","Sáb","Dom"))</f>
        <v>Qua</v>
      </c>
      <c r="C19" s="36" t="n">
        <f aca="false">IF(A19="","",Cálculo!B19)</f>
        <v>3</v>
      </c>
      <c r="D19" s="11" t="str">
        <f aca="false">IF(A19="","",IF(Cálculo!C19=1,CHOOSE(WEEKDAY(A19,2),"Meta da Semana","Foco no Atendimento","Revisão da Semana","Foco no Atendimento","Relatório da Semana"),IF(COUNTIF(Folgas!$A$5:$A$300,A19)&gt;0,"Feriado / folga","Fim de semana")))</f>
        <v>Revisão da Semana</v>
      </c>
      <c r="E19" s="28" t="str">
        <f aca="false">IF(A19="","",IF(Cálculo!C19=1,"Sim","Não"))</f>
        <v>Sim</v>
      </c>
      <c r="F19" s="23" t="n">
        <f aca="false">IF(OR($E19&lt;&gt;"Sim",NOT(ISNUMBER('Base de Dados'!$B$5))),"",Cálculo!O19)</f>
        <v>2142.85714285714</v>
      </c>
      <c r="G19" s="6"/>
      <c r="H19" s="25" t="n">
        <f aca="false">IF(OR($E19&lt;&gt;"Sim",NOT(ISNUMBER('Base de Dados'!$E$10))),"",Cálculo!AH19)</f>
        <v>62</v>
      </c>
      <c r="I19" s="37"/>
      <c r="J19" s="25" t="n">
        <f aca="false">IF(OR($E19&lt;&gt;"Sim",NOT(ISNUMBER('Base de Dados'!$E$11))),"",Cálculo!BA19)</f>
        <v>13</v>
      </c>
      <c r="K19" s="37"/>
      <c r="L19" s="25" t="n">
        <f aca="false">IF(OR($E19&lt;&gt;"Sim",NOT(ISNUMBER('Base de Dados'!$E$12))),"",Cálculo!BT19)</f>
        <v>8</v>
      </c>
      <c r="M19" s="37"/>
      <c r="N19" s="25" t="n">
        <f aca="false">IF(OR($E19&lt;&gt;"Sim",NOT(ISNUMBER('Base de Dados'!$E$13))),"",Cálculo!CM19)</f>
        <v>3</v>
      </c>
      <c r="O19" s="37"/>
      <c r="P19" s="13" t="str">
        <f aca="false">IF(AND(ISNUMBER(G19),ISNUMBER(I19)),IF(I19&gt;0,G19/I19,""),"")</f>
        <v/>
      </c>
      <c r="Q19" s="13" t="str">
        <f aca="false">IF(AND(ISNUMBER(G19),ISNUMBER(K19)),IF(K19&gt;0,G19/K19,""),"")</f>
        <v/>
      </c>
      <c r="R19" s="13" t="str">
        <f aca="false">IF(AND(ISNUMBER(G19),ISNUMBER(M19)),IF(M19&gt;0,G19/M19,""),"")</f>
        <v/>
      </c>
      <c r="S19" s="13" t="str">
        <f aca="false">IF(AND(ISNUMBER(G19),ISNUMBER(O19)),IF(O19&gt;0,G19/O19,""),"")</f>
        <v/>
      </c>
    </row>
    <row r="20" customFormat="false" ht="15" hidden="false" customHeight="false" outlineLevel="0" collapsed="false">
      <c r="A20" s="22" t="n">
        <f aca="false">IF(Cálculo!A20="","",Cálculo!A20)</f>
        <v>46310</v>
      </c>
      <c r="B20" s="28" t="str">
        <f aca="false">IF(A20="","",CHOOSE(WEEKDAY(A20,2),"Seg","Ter","Qua","Qui","Sex","Sáb","Dom"))</f>
        <v>Qui</v>
      </c>
      <c r="C20" s="36" t="n">
        <f aca="false">IF(A20="","",Cálculo!B20)</f>
        <v>3</v>
      </c>
      <c r="D20" s="11" t="str">
        <f aca="false">IF(A20="","",IF(Cálculo!C20=1,CHOOSE(WEEKDAY(A20,2),"Meta da Semana","Foco no Atendimento","Revisão da Semana","Foco no Atendimento","Relatório da Semana"),IF(COUNTIF(Folgas!$A$5:$A$300,A20)&gt;0,"Feriado / folga","Fim de semana")))</f>
        <v>Foco no Atendimento</v>
      </c>
      <c r="E20" s="28" t="str">
        <f aca="false">IF(A20="","",IF(Cálculo!C20=1,"Sim","Não"))</f>
        <v>Sim</v>
      </c>
      <c r="F20" s="23" t="n">
        <f aca="false">IF(OR($E20&lt;&gt;"Sim",NOT(ISNUMBER('Base de Dados'!$B$5))),"",Cálculo!O20)</f>
        <v>2142.85714285714</v>
      </c>
      <c r="G20" s="6"/>
      <c r="H20" s="25" t="n">
        <f aca="false">IF(OR($E20&lt;&gt;"Sim",NOT(ISNUMBER('Base de Dados'!$E$10))),"",Cálculo!AH20)</f>
        <v>62</v>
      </c>
      <c r="I20" s="37"/>
      <c r="J20" s="25" t="n">
        <f aca="false">IF(OR($E20&lt;&gt;"Sim",NOT(ISNUMBER('Base de Dados'!$E$11))),"",Cálculo!BA20)</f>
        <v>13</v>
      </c>
      <c r="K20" s="37"/>
      <c r="L20" s="25" t="n">
        <f aca="false">IF(OR($E20&lt;&gt;"Sim",NOT(ISNUMBER('Base de Dados'!$E$12))),"",Cálculo!BT20)</f>
        <v>8</v>
      </c>
      <c r="M20" s="37"/>
      <c r="N20" s="25" t="n">
        <f aca="false">IF(OR($E20&lt;&gt;"Sim",NOT(ISNUMBER('Base de Dados'!$E$13))),"",Cálculo!CM20)</f>
        <v>3</v>
      </c>
      <c r="O20" s="37"/>
      <c r="P20" s="13" t="str">
        <f aca="false">IF(AND(ISNUMBER(G20),ISNUMBER(I20)),IF(I20&gt;0,G20/I20,""),"")</f>
        <v/>
      </c>
      <c r="Q20" s="13" t="str">
        <f aca="false">IF(AND(ISNUMBER(G20),ISNUMBER(K20)),IF(K20&gt;0,G20/K20,""),"")</f>
        <v/>
      </c>
      <c r="R20" s="13" t="str">
        <f aca="false">IF(AND(ISNUMBER(G20),ISNUMBER(M20)),IF(M20&gt;0,G20/M20,""),"")</f>
        <v/>
      </c>
      <c r="S20" s="13" t="str">
        <f aca="false">IF(AND(ISNUMBER(G20),ISNUMBER(O20)),IF(O20&gt;0,G20/O20,""),"")</f>
        <v/>
      </c>
    </row>
    <row r="21" customFormat="false" ht="15" hidden="false" customHeight="false" outlineLevel="0" collapsed="false">
      <c r="A21" s="22" t="n">
        <f aca="false">IF(Cálculo!A21="","",Cálculo!A21)</f>
        <v>46311</v>
      </c>
      <c r="B21" s="28" t="str">
        <f aca="false">IF(A21="","",CHOOSE(WEEKDAY(A21,2),"Seg","Ter","Qua","Qui","Sex","Sáb","Dom"))</f>
        <v>Sex</v>
      </c>
      <c r="C21" s="36" t="n">
        <f aca="false">IF(A21="","",Cálculo!B21)</f>
        <v>3</v>
      </c>
      <c r="D21" s="11" t="str">
        <f aca="false">IF(A21="","",IF(Cálculo!C21=1,CHOOSE(WEEKDAY(A21,2),"Meta da Semana","Foco no Atendimento","Revisão da Semana","Foco no Atendimento","Relatório da Semana"),IF(COUNTIF(Folgas!$A$5:$A$300,A21)&gt;0,"Feriado / folga","Fim de semana")))</f>
        <v>Relatório da Semana</v>
      </c>
      <c r="E21" s="28" t="str">
        <f aca="false">IF(A21="","",IF(Cálculo!C21=1,"Sim","Não"))</f>
        <v>Sim</v>
      </c>
      <c r="F21" s="23" t="n">
        <f aca="false">IF(OR($E21&lt;&gt;"Sim",NOT(ISNUMBER('Base de Dados'!$B$5))),"",Cálculo!O21)</f>
        <v>2142.85714285714</v>
      </c>
      <c r="G21" s="6"/>
      <c r="H21" s="25" t="n">
        <f aca="false">IF(OR($E21&lt;&gt;"Sim",NOT(ISNUMBER('Base de Dados'!$E$10))),"",Cálculo!AH21)</f>
        <v>62</v>
      </c>
      <c r="I21" s="37"/>
      <c r="J21" s="25" t="n">
        <f aca="false">IF(OR($E21&lt;&gt;"Sim",NOT(ISNUMBER('Base de Dados'!$E$11))),"",Cálculo!BA21)</f>
        <v>13</v>
      </c>
      <c r="K21" s="37"/>
      <c r="L21" s="25" t="n">
        <f aca="false">IF(OR($E21&lt;&gt;"Sim",NOT(ISNUMBER('Base de Dados'!$E$12))),"",Cálculo!BT21)</f>
        <v>8</v>
      </c>
      <c r="M21" s="37"/>
      <c r="N21" s="25" t="n">
        <f aca="false">IF(OR($E21&lt;&gt;"Sim",NOT(ISNUMBER('Base de Dados'!$E$13))),"",Cálculo!CM21)</f>
        <v>3</v>
      </c>
      <c r="O21" s="37"/>
      <c r="P21" s="13" t="str">
        <f aca="false">IF(AND(ISNUMBER(G21),ISNUMBER(I21)),IF(I21&gt;0,G21/I21,""),"")</f>
        <v/>
      </c>
      <c r="Q21" s="13" t="str">
        <f aca="false">IF(AND(ISNUMBER(G21),ISNUMBER(K21)),IF(K21&gt;0,G21/K21,""),"")</f>
        <v/>
      </c>
      <c r="R21" s="13" t="str">
        <f aca="false">IF(AND(ISNUMBER(G21),ISNUMBER(M21)),IF(M21&gt;0,G21/M21,""),"")</f>
        <v/>
      </c>
      <c r="S21" s="13" t="str">
        <f aca="false">IF(AND(ISNUMBER(G21),ISNUMBER(O21)),IF(O21&gt;0,G21/O21,""),"")</f>
        <v/>
      </c>
    </row>
    <row r="22" customFormat="false" ht="15" hidden="false" customHeight="false" outlineLevel="0" collapsed="false">
      <c r="A22" s="22" t="n">
        <f aca="false">IF(Cálculo!A22="","",Cálculo!A22)</f>
        <v>46312</v>
      </c>
      <c r="B22" s="28" t="str">
        <f aca="false">IF(A22="","",CHOOSE(WEEKDAY(A22,2),"Seg","Ter","Qua","Qui","Sex","Sáb","Dom"))</f>
        <v>Sáb</v>
      </c>
      <c r="C22" s="36" t="n">
        <f aca="false">IF(A22="","",Cálculo!B22)</f>
        <v>3</v>
      </c>
      <c r="D22" s="11" t="str">
        <f aca="false">IF(A22="","",IF(Cálculo!C22=1,CHOOSE(WEEKDAY(A22,2),"Meta da Semana","Foco no Atendimento","Revisão da Semana","Foco no Atendimento","Relatório da Semana"),IF(COUNTIF(Folgas!$A$5:$A$300,A22)&gt;0,"Feriado / folga","Fim de semana")))</f>
        <v>Fim de semana</v>
      </c>
      <c r="E22" s="28" t="str">
        <f aca="false">IF(A22="","",IF(Cálculo!C22=1,"Sim","Não"))</f>
        <v>Não</v>
      </c>
      <c r="F22" s="23" t="str">
        <f aca="false">IF(OR($E22&lt;&gt;"Sim",NOT(ISNUMBER('Base de Dados'!$B$5))),"",Cálculo!O22)</f>
        <v/>
      </c>
      <c r="G22" s="6"/>
      <c r="H22" s="25" t="str">
        <f aca="false">IF(OR($E22&lt;&gt;"Sim",NOT(ISNUMBER('Base de Dados'!$E$10))),"",Cálculo!AH22)</f>
        <v/>
      </c>
      <c r="I22" s="37"/>
      <c r="J22" s="25" t="str">
        <f aca="false">IF(OR($E22&lt;&gt;"Sim",NOT(ISNUMBER('Base de Dados'!$E$11))),"",Cálculo!BA22)</f>
        <v/>
      </c>
      <c r="K22" s="37"/>
      <c r="L22" s="25" t="str">
        <f aca="false">IF(OR($E22&lt;&gt;"Sim",NOT(ISNUMBER('Base de Dados'!$E$12))),"",Cálculo!BT22)</f>
        <v/>
      </c>
      <c r="M22" s="37"/>
      <c r="N22" s="25" t="str">
        <f aca="false">IF(OR($E22&lt;&gt;"Sim",NOT(ISNUMBER('Base de Dados'!$E$13))),"",Cálculo!CM22)</f>
        <v/>
      </c>
      <c r="O22" s="37"/>
      <c r="P22" s="13" t="str">
        <f aca="false">IF(AND(ISNUMBER(G22),ISNUMBER(I22)),IF(I22&gt;0,G22/I22,""),"")</f>
        <v/>
      </c>
      <c r="Q22" s="13" t="str">
        <f aca="false">IF(AND(ISNUMBER(G22),ISNUMBER(K22)),IF(K22&gt;0,G22/K22,""),"")</f>
        <v/>
      </c>
      <c r="R22" s="13" t="str">
        <f aca="false">IF(AND(ISNUMBER(G22),ISNUMBER(M22)),IF(M22&gt;0,G22/M22,""),"")</f>
        <v/>
      </c>
      <c r="S22" s="13" t="str">
        <f aca="false">IF(AND(ISNUMBER(G22),ISNUMBER(O22)),IF(O22&gt;0,G22/O22,""),"")</f>
        <v/>
      </c>
    </row>
    <row r="23" customFormat="false" ht="15" hidden="false" customHeight="false" outlineLevel="0" collapsed="false">
      <c r="A23" s="22" t="n">
        <f aca="false">IF(Cálculo!A23="","",Cálculo!A23)</f>
        <v>46313</v>
      </c>
      <c r="B23" s="28" t="str">
        <f aca="false">IF(A23="","",CHOOSE(WEEKDAY(A23,2),"Seg","Ter","Qua","Qui","Sex","Sáb","Dom"))</f>
        <v>Dom</v>
      </c>
      <c r="C23" s="36" t="n">
        <f aca="false">IF(A23="","",Cálculo!B23)</f>
        <v>3</v>
      </c>
      <c r="D23" s="11" t="str">
        <f aca="false">IF(A23="","",IF(Cálculo!C23=1,CHOOSE(WEEKDAY(A23,2),"Meta da Semana","Foco no Atendimento","Revisão da Semana","Foco no Atendimento","Relatório da Semana"),IF(COUNTIF(Folgas!$A$5:$A$300,A23)&gt;0,"Feriado / folga","Fim de semana")))</f>
        <v>Fim de semana</v>
      </c>
      <c r="E23" s="28" t="str">
        <f aca="false">IF(A23="","",IF(Cálculo!C23=1,"Sim","Não"))</f>
        <v>Não</v>
      </c>
      <c r="F23" s="23" t="str">
        <f aca="false">IF(OR($E23&lt;&gt;"Sim",NOT(ISNUMBER('Base de Dados'!$B$5))),"",Cálculo!O23)</f>
        <v/>
      </c>
      <c r="G23" s="6"/>
      <c r="H23" s="25" t="str">
        <f aca="false">IF(OR($E23&lt;&gt;"Sim",NOT(ISNUMBER('Base de Dados'!$E$10))),"",Cálculo!AH23)</f>
        <v/>
      </c>
      <c r="I23" s="37"/>
      <c r="J23" s="25" t="str">
        <f aca="false">IF(OR($E23&lt;&gt;"Sim",NOT(ISNUMBER('Base de Dados'!$E$11))),"",Cálculo!BA23)</f>
        <v/>
      </c>
      <c r="K23" s="37"/>
      <c r="L23" s="25" t="str">
        <f aca="false">IF(OR($E23&lt;&gt;"Sim",NOT(ISNUMBER('Base de Dados'!$E$12))),"",Cálculo!BT23)</f>
        <v/>
      </c>
      <c r="M23" s="37"/>
      <c r="N23" s="25" t="str">
        <f aca="false">IF(OR($E23&lt;&gt;"Sim",NOT(ISNUMBER('Base de Dados'!$E$13))),"",Cálculo!CM23)</f>
        <v/>
      </c>
      <c r="O23" s="37"/>
      <c r="P23" s="13" t="str">
        <f aca="false">IF(AND(ISNUMBER(G23),ISNUMBER(I23)),IF(I23&gt;0,G23/I23,""),"")</f>
        <v/>
      </c>
      <c r="Q23" s="13" t="str">
        <f aca="false">IF(AND(ISNUMBER(G23),ISNUMBER(K23)),IF(K23&gt;0,G23/K23,""),"")</f>
        <v/>
      </c>
      <c r="R23" s="13" t="str">
        <f aca="false">IF(AND(ISNUMBER(G23),ISNUMBER(M23)),IF(M23&gt;0,G23/M23,""),"")</f>
        <v/>
      </c>
      <c r="S23" s="13" t="str">
        <f aca="false">IF(AND(ISNUMBER(G23),ISNUMBER(O23)),IF(O23&gt;0,G23/O23,""),"")</f>
        <v/>
      </c>
    </row>
    <row r="24" customFormat="false" ht="15" hidden="false" customHeight="false" outlineLevel="0" collapsed="false">
      <c r="A24" s="22" t="n">
        <f aca="false">IF(Cálculo!A24="","",Cálculo!A24)</f>
        <v>46314</v>
      </c>
      <c r="B24" s="28" t="str">
        <f aca="false">IF(A24="","",CHOOSE(WEEKDAY(A24,2),"Seg","Ter","Qua","Qui","Sex","Sáb","Dom"))</f>
        <v>Seg</v>
      </c>
      <c r="C24" s="36" t="n">
        <f aca="false">IF(A24="","",Cálculo!B24)</f>
        <v>4</v>
      </c>
      <c r="D24" s="11" t="str">
        <f aca="false">IF(A24="","",IF(Cálculo!C24=1,CHOOSE(WEEKDAY(A24,2),"Meta da Semana","Foco no Atendimento","Revisão da Semana","Foco no Atendimento","Relatório da Semana"),IF(COUNTIF(Folgas!$A$5:$A$300,A24)&gt;0,"Feriado / folga","Fim de semana")))</f>
        <v>Meta da Semana</v>
      </c>
      <c r="E24" s="28" t="str">
        <f aca="false">IF(A24="","",IF(Cálculo!C24=1,"Sim","Não"))</f>
        <v>Sim</v>
      </c>
      <c r="F24" s="23" t="n">
        <f aca="false">IF(OR($E24&lt;&gt;"Sim",NOT(ISNUMBER('Base de Dados'!$B$5))),"",Cálculo!O24)</f>
        <v>2142.85714285714</v>
      </c>
      <c r="G24" s="6"/>
      <c r="H24" s="25" t="n">
        <f aca="false">IF(OR($E24&lt;&gt;"Sim",NOT(ISNUMBER('Base de Dados'!$E$10))),"",Cálculo!AH24)</f>
        <v>61</v>
      </c>
      <c r="I24" s="37"/>
      <c r="J24" s="25" t="n">
        <f aca="false">IF(OR($E24&lt;&gt;"Sim",NOT(ISNUMBER('Base de Dados'!$E$11))),"",Cálculo!BA24)</f>
        <v>12</v>
      </c>
      <c r="K24" s="37"/>
      <c r="L24" s="25" t="n">
        <f aca="false">IF(OR($E24&lt;&gt;"Sim",NOT(ISNUMBER('Base de Dados'!$E$12))),"",Cálculo!BT24)</f>
        <v>7</v>
      </c>
      <c r="M24" s="37"/>
      <c r="N24" s="25" t="n">
        <f aca="false">IF(OR($E24&lt;&gt;"Sim",NOT(ISNUMBER('Base de Dados'!$E$13))),"",Cálculo!CM24)</f>
        <v>2</v>
      </c>
      <c r="O24" s="37"/>
      <c r="P24" s="13" t="str">
        <f aca="false">IF(AND(ISNUMBER(G24),ISNUMBER(I24)),IF(I24&gt;0,G24/I24,""),"")</f>
        <v/>
      </c>
      <c r="Q24" s="13" t="str">
        <f aca="false">IF(AND(ISNUMBER(G24),ISNUMBER(K24)),IF(K24&gt;0,G24/K24,""),"")</f>
        <v/>
      </c>
      <c r="R24" s="13" t="str">
        <f aca="false">IF(AND(ISNUMBER(G24),ISNUMBER(M24)),IF(M24&gt;0,G24/M24,""),"")</f>
        <v/>
      </c>
      <c r="S24" s="13" t="str">
        <f aca="false">IF(AND(ISNUMBER(G24),ISNUMBER(O24)),IF(O24&gt;0,G24/O24,""),"")</f>
        <v/>
      </c>
    </row>
    <row r="25" customFormat="false" ht="15" hidden="false" customHeight="false" outlineLevel="0" collapsed="false">
      <c r="A25" s="22" t="n">
        <f aca="false">IF(Cálculo!A25="","",Cálculo!A25)</f>
        <v>46315</v>
      </c>
      <c r="B25" s="28" t="str">
        <f aca="false">IF(A25="","",CHOOSE(WEEKDAY(A25,2),"Seg","Ter","Qua","Qui","Sex","Sáb","Dom"))</f>
        <v>Ter</v>
      </c>
      <c r="C25" s="36" t="n">
        <f aca="false">IF(A25="","",Cálculo!B25)</f>
        <v>4</v>
      </c>
      <c r="D25" s="11" t="str">
        <f aca="false">IF(A25="","",IF(Cálculo!C25=1,CHOOSE(WEEKDAY(A25,2),"Meta da Semana","Foco no Atendimento","Revisão da Semana","Foco no Atendimento","Relatório da Semana"),IF(COUNTIF(Folgas!$A$5:$A$300,A25)&gt;0,"Feriado / folga","Fim de semana")))</f>
        <v>Foco no Atendimento</v>
      </c>
      <c r="E25" s="28" t="str">
        <f aca="false">IF(A25="","",IF(Cálculo!C25=1,"Sim","Não"))</f>
        <v>Sim</v>
      </c>
      <c r="F25" s="23" t="n">
        <f aca="false">IF(OR($E25&lt;&gt;"Sim",NOT(ISNUMBER('Base de Dados'!$B$5))),"",Cálculo!O25)</f>
        <v>2142.85714285714</v>
      </c>
      <c r="G25" s="6"/>
      <c r="H25" s="25" t="n">
        <f aca="false">IF(OR($E25&lt;&gt;"Sim",NOT(ISNUMBER('Base de Dados'!$E$10))),"",Cálculo!AH25)</f>
        <v>61</v>
      </c>
      <c r="I25" s="37"/>
      <c r="J25" s="25" t="n">
        <f aca="false">IF(OR($E25&lt;&gt;"Sim",NOT(ISNUMBER('Base de Dados'!$E$11))),"",Cálculo!BA25)</f>
        <v>12</v>
      </c>
      <c r="K25" s="37"/>
      <c r="L25" s="25" t="n">
        <f aca="false">IF(OR($E25&lt;&gt;"Sim",NOT(ISNUMBER('Base de Dados'!$E$12))),"",Cálculo!BT25)</f>
        <v>8</v>
      </c>
      <c r="M25" s="37"/>
      <c r="N25" s="25" t="n">
        <f aca="false">IF(OR($E25&lt;&gt;"Sim",NOT(ISNUMBER('Base de Dados'!$E$13))),"",Cálculo!CM25)</f>
        <v>2</v>
      </c>
      <c r="O25" s="37"/>
      <c r="P25" s="13" t="str">
        <f aca="false">IF(AND(ISNUMBER(G25),ISNUMBER(I25)),IF(I25&gt;0,G25/I25,""),"")</f>
        <v/>
      </c>
      <c r="Q25" s="13" t="str">
        <f aca="false">IF(AND(ISNUMBER(G25),ISNUMBER(K25)),IF(K25&gt;0,G25/K25,""),"")</f>
        <v/>
      </c>
      <c r="R25" s="13" t="str">
        <f aca="false">IF(AND(ISNUMBER(G25),ISNUMBER(M25)),IF(M25&gt;0,G25/M25,""),"")</f>
        <v/>
      </c>
      <c r="S25" s="13" t="str">
        <f aca="false">IF(AND(ISNUMBER(G25),ISNUMBER(O25)),IF(O25&gt;0,G25/O25,""),"")</f>
        <v/>
      </c>
    </row>
    <row r="26" customFormat="false" ht="15" hidden="false" customHeight="false" outlineLevel="0" collapsed="false">
      <c r="A26" s="22" t="n">
        <f aca="false">IF(Cálculo!A26="","",Cálculo!A26)</f>
        <v>46316</v>
      </c>
      <c r="B26" s="28" t="str">
        <f aca="false">IF(A26="","",CHOOSE(WEEKDAY(A26,2),"Seg","Ter","Qua","Qui","Sex","Sáb","Dom"))</f>
        <v>Qua</v>
      </c>
      <c r="C26" s="36" t="n">
        <f aca="false">IF(A26="","",Cálculo!B26)</f>
        <v>4</v>
      </c>
      <c r="D26" s="11" t="str">
        <f aca="false">IF(A26="","",IF(Cálculo!C26=1,CHOOSE(WEEKDAY(A26,2),"Meta da Semana","Foco no Atendimento","Revisão da Semana","Foco no Atendimento","Relatório da Semana"),IF(COUNTIF(Folgas!$A$5:$A$300,A26)&gt;0,"Feriado / folga","Fim de semana")))</f>
        <v>Revisão da Semana</v>
      </c>
      <c r="E26" s="28" t="str">
        <f aca="false">IF(A26="","",IF(Cálculo!C26=1,"Sim","Não"))</f>
        <v>Sim</v>
      </c>
      <c r="F26" s="23" t="n">
        <f aca="false">IF(OR($E26&lt;&gt;"Sim",NOT(ISNUMBER('Base de Dados'!$B$5))),"",Cálculo!O26)</f>
        <v>2142.85714285714</v>
      </c>
      <c r="G26" s="6"/>
      <c r="H26" s="25" t="n">
        <f aca="false">IF(OR($E26&lt;&gt;"Sim",NOT(ISNUMBER('Base de Dados'!$E$10))),"",Cálculo!AH26)</f>
        <v>61</v>
      </c>
      <c r="I26" s="37"/>
      <c r="J26" s="25" t="n">
        <f aca="false">IF(OR($E26&lt;&gt;"Sim",NOT(ISNUMBER('Base de Dados'!$E$11))),"",Cálculo!BA26)</f>
        <v>12</v>
      </c>
      <c r="K26" s="37"/>
      <c r="L26" s="25" t="n">
        <f aca="false">IF(OR($E26&lt;&gt;"Sim",NOT(ISNUMBER('Base de Dados'!$E$12))),"",Cálculo!BT26)</f>
        <v>7</v>
      </c>
      <c r="M26" s="37"/>
      <c r="N26" s="25" t="n">
        <f aca="false">IF(OR($E26&lt;&gt;"Sim",NOT(ISNUMBER('Base de Dados'!$E$13))),"",Cálculo!CM26)</f>
        <v>2</v>
      </c>
      <c r="O26" s="37"/>
      <c r="P26" s="13" t="str">
        <f aca="false">IF(AND(ISNUMBER(G26),ISNUMBER(I26)),IF(I26&gt;0,G26/I26,""),"")</f>
        <v/>
      </c>
      <c r="Q26" s="13" t="str">
        <f aca="false">IF(AND(ISNUMBER(G26),ISNUMBER(K26)),IF(K26&gt;0,G26/K26,""),"")</f>
        <v/>
      </c>
      <c r="R26" s="13" t="str">
        <f aca="false">IF(AND(ISNUMBER(G26),ISNUMBER(M26)),IF(M26&gt;0,G26/M26,""),"")</f>
        <v/>
      </c>
      <c r="S26" s="13" t="str">
        <f aca="false">IF(AND(ISNUMBER(G26),ISNUMBER(O26)),IF(O26&gt;0,G26/O26,""),"")</f>
        <v/>
      </c>
    </row>
    <row r="27" customFormat="false" ht="15" hidden="false" customHeight="false" outlineLevel="0" collapsed="false">
      <c r="A27" s="22" t="n">
        <f aca="false">IF(Cálculo!A27="","",Cálculo!A27)</f>
        <v>46317</v>
      </c>
      <c r="B27" s="28" t="str">
        <f aca="false">IF(A27="","",CHOOSE(WEEKDAY(A27,2),"Seg","Ter","Qua","Qui","Sex","Sáb","Dom"))</f>
        <v>Qui</v>
      </c>
      <c r="C27" s="36" t="n">
        <f aca="false">IF(A27="","",Cálculo!B27)</f>
        <v>4</v>
      </c>
      <c r="D27" s="11" t="str">
        <f aca="false">IF(A27="","",IF(Cálculo!C27=1,CHOOSE(WEEKDAY(A27,2),"Meta da Semana","Foco no Atendimento","Revisão da Semana","Foco no Atendimento","Relatório da Semana"),IF(COUNTIF(Folgas!$A$5:$A$300,A27)&gt;0,"Feriado / folga","Fim de semana")))</f>
        <v>Foco no Atendimento</v>
      </c>
      <c r="E27" s="28" t="str">
        <f aca="false">IF(A27="","",IF(Cálculo!C27=1,"Sim","Não"))</f>
        <v>Sim</v>
      </c>
      <c r="F27" s="23" t="n">
        <f aca="false">IF(OR($E27&lt;&gt;"Sim",NOT(ISNUMBER('Base de Dados'!$B$5))),"",Cálculo!O27)</f>
        <v>2142.85714285714</v>
      </c>
      <c r="G27" s="6"/>
      <c r="H27" s="25" t="n">
        <f aca="false">IF(OR($E27&lt;&gt;"Sim",NOT(ISNUMBER('Base de Dados'!$E$10))),"",Cálculo!AH27)</f>
        <v>61</v>
      </c>
      <c r="I27" s="37"/>
      <c r="J27" s="25" t="n">
        <f aca="false">IF(OR($E27&lt;&gt;"Sim",NOT(ISNUMBER('Base de Dados'!$E$11))),"",Cálculo!BA27)</f>
        <v>12</v>
      </c>
      <c r="K27" s="37"/>
      <c r="L27" s="25" t="n">
        <f aca="false">IF(OR($E27&lt;&gt;"Sim",NOT(ISNUMBER('Base de Dados'!$E$12))),"",Cálculo!BT27)</f>
        <v>8</v>
      </c>
      <c r="M27" s="37"/>
      <c r="N27" s="25" t="n">
        <f aca="false">IF(OR($E27&lt;&gt;"Sim",NOT(ISNUMBER('Base de Dados'!$E$13))),"",Cálculo!CM27)</f>
        <v>2</v>
      </c>
      <c r="O27" s="37"/>
      <c r="P27" s="13" t="str">
        <f aca="false">IF(AND(ISNUMBER(G27),ISNUMBER(I27)),IF(I27&gt;0,G27/I27,""),"")</f>
        <v/>
      </c>
      <c r="Q27" s="13" t="str">
        <f aca="false">IF(AND(ISNUMBER(G27),ISNUMBER(K27)),IF(K27&gt;0,G27/K27,""),"")</f>
        <v/>
      </c>
      <c r="R27" s="13" t="str">
        <f aca="false">IF(AND(ISNUMBER(G27),ISNUMBER(M27)),IF(M27&gt;0,G27/M27,""),"")</f>
        <v/>
      </c>
      <c r="S27" s="13" t="str">
        <f aca="false">IF(AND(ISNUMBER(G27),ISNUMBER(O27)),IF(O27&gt;0,G27/O27,""),"")</f>
        <v/>
      </c>
    </row>
    <row r="28" customFormat="false" ht="15" hidden="false" customHeight="false" outlineLevel="0" collapsed="false">
      <c r="A28" s="22" t="n">
        <f aca="false">IF(Cálculo!A28="","",Cálculo!A28)</f>
        <v>46318</v>
      </c>
      <c r="B28" s="28" t="str">
        <f aca="false">IF(A28="","",CHOOSE(WEEKDAY(A28,2),"Seg","Ter","Qua","Qui","Sex","Sáb","Dom"))</f>
        <v>Sex</v>
      </c>
      <c r="C28" s="36" t="n">
        <f aca="false">IF(A28="","",Cálculo!B28)</f>
        <v>4</v>
      </c>
      <c r="D28" s="11" t="str">
        <f aca="false">IF(A28="","",IF(Cálculo!C28=1,CHOOSE(WEEKDAY(A28,2),"Meta da Semana","Foco no Atendimento","Revisão da Semana","Foco no Atendimento","Relatório da Semana"),IF(COUNTIF(Folgas!$A$5:$A$300,A28)&gt;0,"Feriado / folga","Fim de semana")))</f>
        <v>Relatório da Semana</v>
      </c>
      <c r="E28" s="28" t="str">
        <f aca="false">IF(A28="","",IF(Cálculo!C28=1,"Sim","Não"))</f>
        <v>Sim</v>
      </c>
      <c r="F28" s="23" t="n">
        <f aca="false">IF(OR($E28&lt;&gt;"Sim",NOT(ISNUMBER('Base de Dados'!$B$5))),"",Cálculo!O28)</f>
        <v>2142.85714285714</v>
      </c>
      <c r="G28" s="6"/>
      <c r="H28" s="25" t="n">
        <f aca="false">IF(OR($E28&lt;&gt;"Sim",NOT(ISNUMBER('Base de Dados'!$E$10))),"",Cálculo!AH28)</f>
        <v>61</v>
      </c>
      <c r="I28" s="37"/>
      <c r="J28" s="25" t="n">
        <f aca="false">IF(OR($E28&lt;&gt;"Sim",NOT(ISNUMBER('Base de Dados'!$E$11))),"",Cálculo!BA28)</f>
        <v>12</v>
      </c>
      <c r="K28" s="37"/>
      <c r="L28" s="25" t="n">
        <f aca="false">IF(OR($E28&lt;&gt;"Sim",NOT(ISNUMBER('Base de Dados'!$E$12))),"",Cálculo!BT28)</f>
        <v>7</v>
      </c>
      <c r="M28" s="37"/>
      <c r="N28" s="25" t="n">
        <f aca="false">IF(OR($E28&lt;&gt;"Sim",NOT(ISNUMBER('Base de Dados'!$E$13))),"",Cálculo!CM28)</f>
        <v>2</v>
      </c>
      <c r="O28" s="37"/>
      <c r="P28" s="13" t="str">
        <f aca="false">IF(AND(ISNUMBER(G28),ISNUMBER(I28)),IF(I28&gt;0,G28/I28,""),"")</f>
        <v/>
      </c>
      <c r="Q28" s="13" t="str">
        <f aca="false">IF(AND(ISNUMBER(G28),ISNUMBER(K28)),IF(K28&gt;0,G28/K28,""),"")</f>
        <v/>
      </c>
      <c r="R28" s="13" t="str">
        <f aca="false">IF(AND(ISNUMBER(G28),ISNUMBER(M28)),IF(M28&gt;0,G28/M28,""),"")</f>
        <v/>
      </c>
      <c r="S28" s="13" t="str">
        <f aca="false">IF(AND(ISNUMBER(G28),ISNUMBER(O28)),IF(O28&gt;0,G28/O28,""),"")</f>
        <v/>
      </c>
    </row>
    <row r="29" customFormat="false" ht="15" hidden="false" customHeight="false" outlineLevel="0" collapsed="false">
      <c r="A29" s="22" t="n">
        <f aca="false">IF(Cálculo!A29="","",Cálculo!A29)</f>
        <v>46319</v>
      </c>
      <c r="B29" s="28" t="str">
        <f aca="false">IF(A29="","",CHOOSE(WEEKDAY(A29,2),"Seg","Ter","Qua","Qui","Sex","Sáb","Dom"))</f>
        <v>Sáb</v>
      </c>
      <c r="C29" s="36" t="n">
        <f aca="false">IF(A29="","",Cálculo!B29)</f>
        <v>4</v>
      </c>
      <c r="D29" s="11" t="str">
        <f aca="false">IF(A29="","",IF(Cálculo!C29=1,CHOOSE(WEEKDAY(A29,2),"Meta da Semana","Foco no Atendimento","Revisão da Semana","Foco no Atendimento","Relatório da Semana"),IF(COUNTIF(Folgas!$A$5:$A$300,A29)&gt;0,"Feriado / folga","Fim de semana")))</f>
        <v>Fim de semana</v>
      </c>
      <c r="E29" s="28" t="str">
        <f aca="false">IF(A29="","",IF(Cálculo!C29=1,"Sim","Não"))</f>
        <v>Não</v>
      </c>
      <c r="F29" s="23" t="str">
        <f aca="false">IF(OR($E29&lt;&gt;"Sim",NOT(ISNUMBER('Base de Dados'!$B$5))),"",Cálculo!O29)</f>
        <v/>
      </c>
      <c r="G29" s="6"/>
      <c r="H29" s="25" t="str">
        <f aca="false">IF(OR($E29&lt;&gt;"Sim",NOT(ISNUMBER('Base de Dados'!$E$10))),"",Cálculo!AH29)</f>
        <v/>
      </c>
      <c r="I29" s="37"/>
      <c r="J29" s="25" t="str">
        <f aca="false">IF(OR($E29&lt;&gt;"Sim",NOT(ISNUMBER('Base de Dados'!$E$11))),"",Cálculo!BA29)</f>
        <v/>
      </c>
      <c r="K29" s="37"/>
      <c r="L29" s="25" t="str">
        <f aca="false">IF(OR($E29&lt;&gt;"Sim",NOT(ISNUMBER('Base de Dados'!$E$12))),"",Cálculo!BT29)</f>
        <v/>
      </c>
      <c r="M29" s="37"/>
      <c r="N29" s="25" t="str">
        <f aca="false">IF(OR($E29&lt;&gt;"Sim",NOT(ISNUMBER('Base de Dados'!$E$13))),"",Cálculo!CM29)</f>
        <v/>
      </c>
      <c r="O29" s="37"/>
      <c r="P29" s="13" t="str">
        <f aca="false">IF(AND(ISNUMBER(G29),ISNUMBER(I29)),IF(I29&gt;0,G29/I29,""),"")</f>
        <v/>
      </c>
      <c r="Q29" s="13" t="str">
        <f aca="false">IF(AND(ISNUMBER(G29),ISNUMBER(K29)),IF(K29&gt;0,G29/K29,""),"")</f>
        <v/>
      </c>
      <c r="R29" s="13" t="str">
        <f aca="false">IF(AND(ISNUMBER(G29),ISNUMBER(M29)),IF(M29&gt;0,G29/M29,""),"")</f>
        <v/>
      </c>
      <c r="S29" s="13" t="str">
        <f aca="false">IF(AND(ISNUMBER(G29),ISNUMBER(O29)),IF(O29&gt;0,G29/O29,""),"")</f>
        <v/>
      </c>
    </row>
    <row r="30" customFormat="false" ht="15" hidden="false" customHeight="false" outlineLevel="0" collapsed="false">
      <c r="A30" s="22" t="n">
        <f aca="false">IF(Cálculo!A30="","",Cálculo!A30)</f>
        <v>46320</v>
      </c>
      <c r="B30" s="28" t="str">
        <f aca="false">IF(A30="","",CHOOSE(WEEKDAY(A30,2),"Seg","Ter","Qua","Qui","Sex","Sáb","Dom"))</f>
        <v>Dom</v>
      </c>
      <c r="C30" s="36" t="n">
        <f aca="false">IF(A30="","",Cálculo!B30)</f>
        <v>4</v>
      </c>
      <c r="D30" s="11" t="str">
        <f aca="false">IF(A30="","",IF(Cálculo!C30=1,CHOOSE(WEEKDAY(A30,2),"Meta da Semana","Foco no Atendimento","Revisão da Semana","Foco no Atendimento","Relatório da Semana"),IF(COUNTIF(Folgas!$A$5:$A$300,A30)&gt;0,"Feriado / folga","Fim de semana")))</f>
        <v>Fim de semana</v>
      </c>
      <c r="E30" s="28" t="str">
        <f aca="false">IF(A30="","",IF(Cálculo!C30=1,"Sim","Não"))</f>
        <v>Não</v>
      </c>
      <c r="F30" s="23" t="str">
        <f aca="false">IF(OR($E30&lt;&gt;"Sim",NOT(ISNUMBER('Base de Dados'!$B$5))),"",Cálculo!O30)</f>
        <v/>
      </c>
      <c r="G30" s="6"/>
      <c r="H30" s="25" t="str">
        <f aca="false">IF(OR($E30&lt;&gt;"Sim",NOT(ISNUMBER('Base de Dados'!$E$10))),"",Cálculo!AH30)</f>
        <v/>
      </c>
      <c r="I30" s="37"/>
      <c r="J30" s="25" t="str">
        <f aca="false">IF(OR($E30&lt;&gt;"Sim",NOT(ISNUMBER('Base de Dados'!$E$11))),"",Cálculo!BA30)</f>
        <v/>
      </c>
      <c r="K30" s="37"/>
      <c r="L30" s="25" t="str">
        <f aca="false">IF(OR($E30&lt;&gt;"Sim",NOT(ISNUMBER('Base de Dados'!$E$12))),"",Cálculo!BT30)</f>
        <v/>
      </c>
      <c r="M30" s="37"/>
      <c r="N30" s="25" t="str">
        <f aca="false">IF(OR($E30&lt;&gt;"Sim",NOT(ISNUMBER('Base de Dados'!$E$13))),"",Cálculo!CM30)</f>
        <v/>
      </c>
      <c r="O30" s="37"/>
      <c r="P30" s="13" t="str">
        <f aca="false">IF(AND(ISNUMBER(G30),ISNUMBER(I30)),IF(I30&gt;0,G30/I30,""),"")</f>
        <v/>
      </c>
      <c r="Q30" s="13" t="str">
        <f aca="false">IF(AND(ISNUMBER(G30),ISNUMBER(K30)),IF(K30&gt;0,G30/K30,""),"")</f>
        <v/>
      </c>
      <c r="R30" s="13" t="str">
        <f aca="false">IF(AND(ISNUMBER(G30),ISNUMBER(M30)),IF(M30&gt;0,G30/M30,""),"")</f>
        <v/>
      </c>
      <c r="S30" s="13" t="str">
        <f aca="false">IF(AND(ISNUMBER(G30),ISNUMBER(O30)),IF(O30&gt;0,G30/O30,""),"")</f>
        <v/>
      </c>
    </row>
    <row r="31" customFormat="false" ht="15" hidden="false" customHeight="false" outlineLevel="0" collapsed="false">
      <c r="A31" s="22" t="n">
        <f aca="false">IF(Cálculo!A31="","",Cálculo!A31)</f>
        <v>46321</v>
      </c>
      <c r="B31" s="28" t="str">
        <f aca="false">IF(A31="","",CHOOSE(WEEKDAY(A31,2),"Seg","Ter","Qua","Qui","Sex","Sáb","Dom"))</f>
        <v>Seg</v>
      </c>
      <c r="C31" s="36" t="n">
        <f aca="false">IF(A31="","",Cálculo!B31)</f>
        <v>5</v>
      </c>
      <c r="D31" s="11" t="str">
        <f aca="false">IF(A31="","",IF(Cálculo!C31=1,CHOOSE(WEEKDAY(A31,2),"Meta da Semana","Foco no Atendimento","Revisão da Semana","Foco no Atendimento","Relatório da Semana"),IF(COUNTIF(Folgas!$A$5:$A$300,A31)&gt;0,"Feriado / folga","Fim de semana")))</f>
        <v>Meta da Semana</v>
      </c>
      <c r="E31" s="28" t="str">
        <f aca="false">IF(A31="","",IF(Cálculo!C31=1,"Sim","Não"))</f>
        <v>Sim</v>
      </c>
      <c r="F31" s="23" t="n">
        <f aca="false">IF(OR($E31&lt;&gt;"Sim",NOT(ISNUMBER('Base de Dados'!$B$5))),"",Cálculo!O31)</f>
        <v>2142.85714285714</v>
      </c>
      <c r="G31" s="6"/>
      <c r="H31" s="25" t="n">
        <f aca="false">IF(OR($E31&lt;&gt;"Sim",NOT(ISNUMBER('Base de Dados'!$E$10))),"",Cálculo!AH31)</f>
        <v>61</v>
      </c>
      <c r="I31" s="37"/>
      <c r="J31" s="25" t="n">
        <f aca="false">IF(OR($E31&lt;&gt;"Sim",NOT(ISNUMBER('Base de Dados'!$E$11))),"",Cálculo!BA31)</f>
        <v>12</v>
      </c>
      <c r="K31" s="37"/>
      <c r="L31" s="25" t="n">
        <f aca="false">IF(OR($E31&lt;&gt;"Sim",NOT(ISNUMBER('Base de Dados'!$E$12))),"",Cálculo!BT31)</f>
        <v>7</v>
      </c>
      <c r="M31" s="37"/>
      <c r="N31" s="25" t="n">
        <f aca="false">IF(OR($E31&lt;&gt;"Sim",NOT(ISNUMBER('Base de Dados'!$E$13))),"",Cálculo!CM31)</f>
        <v>2</v>
      </c>
      <c r="O31" s="37"/>
      <c r="P31" s="13" t="str">
        <f aca="false">IF(AND(ISNUMBER(G31),ISNUMBER(I31)),IF(I31&gt;0,G31/I31,""),"")</f>
        <v/>
      </c>
      <c r="Q31" s="13" t="str">
        <f aca="false">IF(AND(ISNUMBER(G31),ISNUMBER(K31)),IF(K31&gt;0,G31/K31,""),"")</f>
        <v/>
      </c>
      <c r="R31" s="13" t="str">
        <f aca="false">IF(AND(ISNUMBER(G31),ISNUMBER(M31)),IF(M31&gt;0,G31/M31,""),"")</f>
        <v/>
      </c>
      <c r="S31" s="13" t="str">
        <f aca="false">IF(AND(ISNUMBER(G31),ISNUMBER(O31)),IF(O31&gt;0,G31/O31,""),"")</f>
        <v/>
      </c>
    </row>
    <row r="32" customFormat="false" ht="15" hidden="false" customHeight="false" outlineLevel="0" collapsed="false">
      <c r="A32" s="22" t="n">
        <f aca="false">IF(Cálculo!A32="","",Cálculo!A32)</f>
        <v>46322</v>
      </c>
      <c r="B32" s="28" t="str">
        <f aca="false">IF(A32="","",CHOOSE(WEEKDAY(A32,2),"Seg","Ter","Qua","Qui","Sex","Sáb","Dom"))</f>
        <v>Ter</v>
      </c>
      <c r="C32" s="36" t="n">
        <f aca="false">IF(A32="","",Cálculo!B32)</f>
        <v>5</v>
      </c>
      <c r="D32" s="11" t="str">
        <f aca="false">IF(A32="","",IF(Cálculo!C32=1,CHOOSE(WEEKDAY(A32,2),"Meta da Semana","Foco no Atendimento","Revisão da Semana","Foco no Atendimento","Relatório da Semana"),IF(COUNTIF(Folgas!$A$5:$A$300,A32)&gt;0,"Feriado / folga","Fim de semana")))</f>
        <v>Foco no Atendimento</v>
      </c>
      <c r="E32" s="28" t="str">
        <f aca="false">IF(A32="","",IF(Cálculo!C32=1,"Sim","Não"))</f>
        <v>Sim</v>
      </c>
      <c r="F32" s="23" t="n">
        <f aca="false">IF(OR($E32&lt;&gt;"Sim",NOT(ISNUMBER('Base de Dados'!$B$5))),"",Cálculo!O32)</f>
        <v>2142.85714285714</v>
      </c>
      <c r="G32" s="6"/>
      <c r="H32" s="25" t="n">
        <f aca="false">IF(OR($E32&lt;&gt;"Sim",NOT(ISNUMBER('Base de Dados'!$E$10))),"",Cálculo!AH32)</f>
        <v>61</v>
      </c>
      <c r="I32" s="37"/>
      <c r="J32" s="25" t="n">
        <f aca="false">IF(OR($E32&lt;&gt;"Sim",NOT(ISNUMBER('Base de Dados'!$E$11))),"",Cálculo!BA32)</f>
        <v>12</v>
      </c>
      <c r="K32" s="37"/>
      <c r="L32" s="25" t="n">
        <f aca="false">IF(OR($E32&lt;&gt;"Sim",NOT(ISNUMBER('Base de Dados'!$E$12))),"",Cálculo!BT32)</f>
        <v>7</v>
      </c>
      <c r="M32" s="37"/>
      <c r="N32" s="25" t="n">
        <f aca="false">IF(OR($E32&lt;&gt;"Sim",NOT(ISNUMBER('Base de Dados'!$E$13))),"",Cálculo!CM32)</f>
        <v>2</v>
      </c>
      <c r="O32" s="37"/>
      <c r="P32" s="13" t="str">
        <f aca="false">IF(AND(ISNUMBER(G32),ISNUMBER(I32)),IF(I32&gt;0,G32/I32,""),"")</f>
        <v/>
      </c>
      <c r="Q32" s="13" t="str">
        <f aca="false">IF(AND(ISNUMBER(G32),ISNUMBER(K32)),IF(K32&gt;0,G32/K32,""),"")</f>
        <v/>
      </c>
      <c r="R32" s="13" t="str">
        <f aca="false">IF(AND(ISNUMBER(G32),ISNUMBER(M32)),IF(M32&gt;0,G32/M32,""),"")</f>
        <v/>
      </c>
      <c r="S32" s="13" t="str">
        <f aca="false">IF(AND(ISNUMBER(G32),ISNUMBER(O32)),IF(O32&gt;0,G32/O32,""),"")</f>
        <v/>
      </c>
    </row>
    <row r="33" customFormat="false" ht="15" hidden="false" customHeight="false" outlineLevel="0" collapsed="false">
      <c r="A33" s="22" t="n">
        <f aca="false">IF(Cálculo!A33="","",Cálculo!A33)</f>
        <v>46323</v>
      </c>
      <c r="B33" s="28" t="str">
        <f aca="false">IF(A33="","",CHOOSE(WEEKDAY(A33,2),"Seg","Ter","Qua","Qui","Sex","Sáb","Dom"))</f>
        <v>Qua</v>
      </c>
      <c r="C33" s="36" t="n">
        <f aca="false">IF(A33="","",Cálculo!B33)</f>
        <v>5</v>
      </c>
      <c r="D33" s="11" t="str">
        <f aca="false">IF(A33="","",IF(Cálculo!C33=1,CHOOSE(WEEKDAY(A33,2),"Meta da Semana","Foco no Atendimento","Revisão da Semana","Foco no Atendimento","Relatório da Semana"),IF(COUNTIF(Folgas!$A$5:$A$300,A33)&gt;0,"Feriado / folga","Fim de semana")))</f>
        <v>Revisão da Semana</v>
      </c>
      <c r="E33" s="28" t="str">
        <f aca="false">IF(A33="","",IF(Cálculo!C33=1,"Sim","Não"))</f>
        <v>Sim</v>
      </c>
      <c r="F33" s="23" t="n">
        <f aca="false">IF(OR($E33&lt;&gt;"Sim",NOT(ISNUMBER('Base de Dados'!$B$5))),"",Cálculo!O33)</f>
        <v>2142.85714285714</v>
      </c>
      <c r="G33" s="6"/>
      <c r="H33" s="25" t="n">
        <f aca="false">IF(OR($E33&lt;&gt;"Sim",NOT(ISNUMBER('Base de Dados'!$E$10))),"",Cálculo!AH33)</f>
        <v>61</v>
      </c>
      <c r="I33" s="37"/>
      <c r="J33" s="25" t="n">
        <f aca="false">IF(OR($E33&lt;&gt;"Sim",NOT(ISNUMBER('Base de Dados'!$E$11))),"",Cálculo!BA33)</f>
        <v>12</v>
      </c>
      <c r="K33" s="37"/>
      <c r="L33" s="25" t="n">
        <f aca="false">IF(OR($E33&lt;&gt;"Sim",NOT(ISNUMBER('Base de Dados'!$E$12))),"",Cálculo!BT33)</f>
        <v>7</v>
      </c>
      <c r="M33" s="37"/>
      <c r="N33" s="25" t="n">
        <f aca="false">IF(OR($E33&lt;&gt;"Sim",NOT(ISNUMBER('Base de Dados'!$E$13))),"",Cálculo!CM33)</f>
        <v>2</v>
      </c>
      <c r="O33" s="37"/>
      <c r="P33" s="13" t="str">
        <f aca="false">IF(AND(ISNUMBER(G33),ISNUMBER(I33)),IF(I33&gt;0,G33/I33,""),"")</f>
        <v/>
      </c>
      <c r="Q33" s="13" t="str">
        <f aca="false">IF(AND(ISNUMBER(G33),ISNUMBER(K33)),IF(K33&gt;0,G33/K33,""),"")</f>
        <v/>
      </c>
      <c r="R33" s="13" t="str">
        <f aca="false">IF(AND(ISNUMBER(G33),ISNUMBER(M33)),IF(M33&gt;0,G33/M33,""),"")</f>
        <v/>
      </c>
      <c r="S33" s="13" t="str">
        <f aca="false">IF(AND(ISNUMBER(G33),ISNUMBER(O33)),IF(O33&gt;0,G33/O33,""),"")</f>
        <v/>
      </c>
    </row>
    <row r="34" customFormat="false" ht="15" hidden="false" customHeight="false" outlineLevel="0" collapsed="false">
      <c r="A34" s="22" t="n">
        <f aca="false">IF(Cálculo!A34="","",Cálculo!A34)</f>
        <v>46324</v>
      </c>
      <c r="B34" s="28" t="str">
        <f aca="false">IF(A34="","",CHOOSE(WEEKDAY(A34,2),"Seg","Ter","Qua","Qui","Sex","Sáb","Dom"))</f>
        <v>Qui</v>
      </c>
      <c r="C34" s="36" t="n">
        <f aca="false">IF(A34="","",Cálculo!B34)</f>
        <v>5</v>
      </c>
      <c r="D34" s="11" t="str">
        <f aca="false">IF(A34="","",IF(Cálculo!C34=1,CHOOSE(WEEKDAY(A34,2),"Meta da Semana","Foco no Atendimento","Revisão da Semana","Foco no Atendimento","Relatório da Semana"),IF(COUNTIF(Folgas!$A$5:$A$300,A34)&gt;0,"Feriado / folga","Fim de semana")))</f>
        <v>Foco no Atendimento</v>
      </c>
      <c r="E34" s="28" t="str">
        <f aca="false">IF(A34="","",IF(Cálculo!C34=1,"Sim","Não"))</f>
        <v>Sim</v>
      </c>
      <c r="F34" s="23" t="n">
        <f aca="false">IF(OR($E34&lt;&gt;"Sim",NOT(ISNUMBER('Base de Dados'!$B$5))),"",Cálculo!O34)</f>
        <v>2142.85714285714</v>
      </c>
      <c r="G34" s="6"/>
      <c r="H34" s="25" t="n">
        <f aca="false">IF(OR($E34&lt;&gt;"Sim",NOT(ISNUMBER('Base de Dados'!$E$10))),"",Cálculo!AH34)</f>
        <v>61</v>
      </c>
      <c r="I34" s="37"/>
      <c r="J34" s="25" t="n">
        <f aca="false">IF(OR($E34&lt;&gt;"Sim",NOT(ISNUMBER('Base de Dados'!$E$11))),"",Cálculo!BA34)</f>
        <v>12</v>
      </c>
      <c r="K34" s="37"/>
      <c r="L34" s="25" t="n">
        <f aca="false">IF(OR($E34&lt;&gt;"Sim",NOT(ISNUMBER('Base de Dados'!$E$12))),"",Cálculo!BT34)</f>
        <v>7</v>
      </c>
      <c r="M34" s="37"/>
      <c r="N34" s="25" t="n">
        <f aca="false">IF(OR($E34&lt;&gt;"Sim",NOT(ISNUMBER('Base de Dados'!$E$13))),"",Cálculo!CM34)</f>
        <v>2</v>
      </c>
      <c r="O34" s="37"/>
      <c r="P34" s="13" t="str">
        <f aca="false">IF(AND(ISNUMBER(G34),ISNUMBER(I34)),IF(I34&gt;0,G34/I34,""),"")</f>
        <v/>
      </c>
      <c r="Q34" s="13" t="str">
        <f aca="false">IF(AND(ISNUMBER(G34),ISNUMBER(K34)),IF(K34&gt;0,G34/K34,""),"")</f>
        <v/>
      </c>
      <c r="R34" s="13" t="str">
        <f aca="false">IF(AND(ISNUMBER(G34),ISNUMBER(M34)),IF(M34&gt;0,G34/M34,""),"")</f>
        <v/>
      </c>
      <c r="S34" s="13" t="str">
        <f aca="false">IF(AND(ISNUMBER(G34),ISNUMBER(O34)),IF(O34&gt;0,G34/O34,""),"")</f>
        <v/>
      </c>
    </row>
    <row r="35" customFormat="false" ht="15" hidden="false" customHeight="false" outlineLevel="0" collapsed="false">
      <c r="A35" s="22" t="n">
        <f aca="false">IF(Cálculo!A35="","",Cálculo!A35)</f>
        <v>46325</v>
      </c>
      <c r="B35" s="28" t="str">
        <f aca="false">IF(A35="","",CHOOSE(WEEKDAY(A35,2),"Seg","Ter","Qua","Qui","Sex","Sáb","Dom"))</f>
        <v>Sex</v>
      </c>
      <c r="C35" s="36" t="n">
        <f aca="false">IF(A35="","",Cálculo!B35)</f>
        <v>5</v>
      </c>
      <c r="D35" s="11" t="str">
        <f aca="false">IF(A35="","",IF(Cálculo!C35=1,CHOOSE(WEEKDAY(A35,2),"Meta da Semana","Foco no Atendimento","Revisão da Semana","Foco no Atendimento","Relatório da Semana"),IF(COUNTIF(Folgas!$A$5:$A$300,A35)&gt;0,"Feriado / folga","Fim de semana")))</f>
        <v>Relatório da Semana</v>
      </c>
      <c r="E35" s="28" t="str">
        <f aca="false">IF(A35="","",IF(Cálculo!C35=1,"Sim","Não"))</f>
        <v>Sim</v>
      </c>
      <c r="F35" s="23" t="n">
        <f aca="false">IF(OR($E35&lt;&gt;"Sim",NOT(ISNUMBER('Base de Dados'!$B$5))),"",Cálculo!O35)</f>
        <v>2142.85714285714</v>
      </c>
      <c r="G35" s="6"/>
      <c r="H35" s="25" t="n">
        <f aca="false">IF(OR($E35&lt;&gt;"Sim",NOT(ISNUMBER('Base de Dados'!$E$10))),"",Cálculo!AH35)</f>
        <v>61</v>
      </c>
      <c r="I35" s="37"/>
      <c r="J35" s="25" t="n">
        <f aca="false">IF(OR($E35&lt;&gt;"Sim",NOT(ISNUMBER('Base de Dados'!$E$11))),"",Cálculo!BA35)</f>
        <v>12</v>
      </c>
      <c r="K35" s="37"/>
      <c r="L35" s="25" t="n">
        <f aca="false">IF(OR($E35&lt;&gt;"Sim",NOT(ISNUMBER('Base de Dados'!$E$12))),"",Cálculo!BT35)</f>
        <v>7</v>
      </c>
      <c r="M35" s="37"/>
      <c r="N35" s="25" t="n">
        <f aca="false">IF(OR($E35&lt;&gt;"Sim",NOT(ISNUMBER('Base de Dados'!$E$13))),"",Cálculo!CM35)</f>
        <v>2</v>
      </c>
      <c r="O35" s="37"/>
      <c r="P35" s="13" t="str">
        <f aca="false">IF(AND(ISNUMBER(G35),ISNUMBER(I35)),IF(I35&gt;0,G35/I35,""),"")</f>
        <v/>
      </c>
      <c r="Q35" s="13" t="str">
        <f aca="false">IF(AND(ISNUMBER(G35),ISNUMBER(K35)),IF(K35&gt;0,G35/K35,""),"")</f>
        <v/>
      </c>
      <c r="R35" s="13" t="str">
        <f aca="false">IF(AND(ISNUMBER(G35),ISNUMBER(M35)),IF(M35&gt;0,G35/M35,""),"")</f>
        <v/>
      </c>
      <c r="S35" s="13" t="str">
        <f aca="false">IF(AND(ISNUMBER(G35),ISNUMBER(O35)),IF(O35&gt;0,G35/O35,""),"")</f>
        <v/>
      </c>
    </row>
    <row r="36" customFormat="false" ht="15" hidden="false" customHeight="false" outlineLevel="0" collapsed="false">
      <c r="A36" s="22" t="n">
        <f aca="false">IF(Cálculo!A36="","",Cálculo!A36)</f>
        <v>46326</v>
      </c>
      <c r="B36" s="28" t="str">
        <f aca="false">IF(A36="","",CHOOSE(WEEKDAY(A36,2),"Seg","Ter","Qua","Qui","Sex","Sáb","Dom"))</f>
        <v>Sáb</v>
      </c>
      <c r="C36" s="36" t="n">
        <f aca="false">IF(A36="","",Cálculo!B36)</f>
        <v>5</v>
      </c>
      <c r="D36" s="11" t="str">
        <f aca="false">IF(A36="","",IF(Cálculo!C36=1,CHOOSE(WEEKDAY(A36,2),"Meta da Semana","Foco no Atendimento","Revisão da Semana","Foco no Atendimento","Relatório da Semana"),IF(COUNTIF(Folgas!$A$5:$A$300,A36)&gt;0,"Feriado / folga","Fim de semana")))</f>
        <v>Fim de semana</v>
      </c>
      <c r="E36" s="28" t="str">
        <f aca="false">IF(A36="","",IF(Cálculo!C36=1,"Sim","Não"))</f>
        <v>Não</v>
      </c>
      <c r="F36" s="23" t="str">
        <f aca="false">IF(OR($E36&lt;&gt;"Sim",NOT(ISNUMBER('Base de Dados'!$B$5))),"",Cálculo!O36)</f>
        <v/>
      </c>
      <c r="G36" s="6"/>
      <c r="H36" s="25" t="str">
        <f aca="false">IF(OR($E36&lt;&gt;"Sim",NOT(ISNUMBER('Base de Dados'!$E$10))),"",Cálculo!AH36)</f>
        <v/>
      </c>
      <c r="I36" s="37"/>
      <c r="J36" s="25" t="str">
        <f aca="false">IF(OR($E36&lt;&gt;"Sim",NOT(ISNUMBER('Base de Dados'!$E$11))),"",Cálculo!BA36)</f>
        <v/>
      </c>
      <c r="K36" s="37"/>
      <c r="L36" s="25" t="str">
        <f aca="false">IF(OR($E36&lt;&gt;"Sim",NOT(ISNUMBER('Base de Dados'!$E$12))),"",Cálculo!BT36)</f>
        <v/>
      </c>
      <c r="M36" s="37"/>
      <c r="N36" s="25" t="str">
        <f aca="false">IF(OR($E36&lt;&gt;"Sim",NOT(ISNUMBER('Base de Dados'!$E$13))),"",Cálculo!CM36)</f>
        <v/>
      </c>
      <c r="O36" s="37"/>
      <c r="P36" s="13" t="str">
        <f aca="false">IF(AND(ISNUMBER(G36),ISNUMBER(I36)),IF(I36&gt;0,G36/I36,""),"")</f>
        <v/>
      </c>
      <c r="Q36" s="13" t="str">
        <f aca="false">IF(AND(ISNUMBER(G36),ISNUMBER(K36)),IF(K36&gt;0,G36/K36,""),"")</f>
        <v/>
      </c>
      <c r="R36" s="13" t="str">
        <f aca="false">IF(AND(ISNUMBER(G36),ISNUMBER(M36)),IF(M36&gt;0,G36/M36,""),"")</f>
        <v/>
      </c>
      <c r="S36" s="13" t="str">
        <f aca="false">IF(AND(ISNUMBER(G36),ISNUMBER(O36)),IF(O36&gt;0,G36/O36,""),"")</f>
        <v/>
      </c>
    </row>
    <row r="37" customFormat="false" ht="15" hidden="false" customHeight="false" outlineLevel="0" collapsed="false">
      <c r="A37" s="3" t="s">
        <v>88</v>
      </c>
      <c r="F37" s="3"/>
      <c r="G37" s="38" t="str">
        <f aca="false">IF(COUNT(G6:G36)=0,"",SUM(G6:G36))</f>
        <v/>
      </c>
      <c r="H37" s="3"/>
      <c r="I37" s="39" t="str">
        <f aca="false">IF(COUNT(I6:I36)=0,"",SUM(I6:I36))</f>
        <v/>
      </c>
      <c r="J37" s="3"/>
      <c r="K37" s="39" t="str">
        <f aca="false">IF(COUNT(K6:K36)=0,"",SUM(K6:K36))</f>
        <v/>
      </c>
      <c r="L37" s="3"/>
      <c r="M37" s="39" t="str">
        <f aca="false">IF(COUNT(M6:M36)=0,"",SUM(M6:M36))</f>
        <v/>
      </c>
      <c r="N37" s="3"/>
      <c r="O37" s="39" t="str">
        <f aca="false">IF(COUNT(O6:O36)=0,"",SUM(O6:O36))</f>
        <v/>
      </c>
      <c r="P37" s="38" t="str">
        <f aca="false">IF(AND(ISNUMBER(G37),ISNUMBER(I37)),IF(I37&gt;0,G37/I37,""),"")</f>
        <v/>
      </c>
      <c r="Q37" s="38" t="str">
        <f aca="false">IF(AND(ISNUMBER(G37),ISNUMBER(K37)),IF(K37&gt;0,G37/K37,""),"")</f>
        <v/>
      </c>
      <c r="R37" s="38" t="str">
        <f aca="false">IF(AND(ISNUMBER(G37),ISNUMBER(M37)),IF(M37&gt;0,G37/M37,""),"")</f>
        <v/>
      </c>
      <c r="S37" s="38" t="str">
        <f aca="false">IF(AND(ISNUMBER(G37),ISNUMBER(O37)),IF(O37&gt;0,G37/O37,""),"")</f>
        <v/>
      </c>
    </row>
  </sheetData>
  <conditionalFormatting sqref="A6:S36">
    <cfRule type="expression" priority="2" aboveAverage="0" equalAverage="0" bottom="0" percent="0" rank="0" text="" dxfId="3">
      <formula>$E6&lt;&gt;"Sim"</formula>
    </cfRule>
  </conditionalFormatting>
  <conditionalFormatting sqref="G6:G36">
    <cfRule type="expression" priority="3" aboveAverage="0" equalAverage="0" bottom="0" percent="0" rank="0" text="" dxfId="0">
      <formula>AND(ISNUMBER(G6),ISNUMBER(F6),G6&gt;=F6)</formula>
    </cfRule>
    <cfRule type="expression" priority="4" aboveAverage="0" equalAverage="0" bottom="0" percent="0" rank="0" text="" dxfId="1">
      <formula>AND(ISNUMBER(G6),ISNUMBER(F6),G6&gt;=F6*0.7)</formula>
    </cfRule>
    <cfRule type="expression" priority="5" aboveAverage="0" equalAverage="0" bottom="0" percent="0" rank="0" text="" dxfId="2">
      <formula>AND(ISNUMBER(G6),ISNUMBER(F6))</formula>
    </cfRule>
  </conditionalFormatting>
  <conditionalFormatting sqref="I6:I36">
    <cfRule type="expression" priority="6" aboveAverage="0" equalAverage="0" bottom="0" percent="0" rank="0" text="" dxfId="0">
      <formula>AND(ISNUMBER(I6),ISNUMBER(H6),I6&gt;=H6)</formula>
    </cfRule>
    <cfRule type="expression" priority="7" aboveAverage="0" equalAverage="0" bottom="0" percent="0" rank="0" text="" dxfId="1">
      <formula>AND(ISNUMBER(I6),ISNUMBER(H6),I6&gt;=H6*0.7)</formula>
    </cfRule>
    <cfRule type="expression" priority="8" aboveAverage="0" equalAverage="0" bottom="0" percent="0" rank="0" text="" dxfId="2">
      <formula>AND(ISNUMBER(I6),ISNUMBER(H6))</formula>
    </cfRule>
  </conditionalFormatting>
  <conditionalFormatting sqref="K6:K36">
    <cfRule type="expression" priority="9" aboveAverage="0" equalAverage="0" bottom="0" percent="0" rank="0" text="" dxfId="0">
      <formula>AND(ISNUMBER(K6),ISNUMBER(J6),K6&gt;=J6)</formula>
    </cfRule>
    <cfRule type="expression" priority="10" aboveAverage="0" equalAverage="0" bottom="0" percent="0" rank="0" text="" dxfId="1">
      <formula>AND(ISNUMBER(K6),ISNUMBER(J6),K6&gt;=J6*0.7)</formula>
    </cfRule>
    <cfRule type="expression" priority="11" aboveAverage="0" equalAverage="0" bottom="0" percent="0" rank="0" text="" dxfId="2">
      <formula>AND(ISNUMBER(K6),ISNUMBER(J6))</formula>
    </cfRule>
  </conditionalFormatting>
  <conditionalFormatting sqref="M6:M36">
    <cfRule type="expression" priority="12" aboveAverage="0" equalAverage="0" bottom="0" percent="0" rank="0" text="" dxfId="0">
      <formula>AND(ISNUMBER(M6),ISNUMBER(L6),M6&gt;=L6)</formula>
    </cfRule>
    <cfRule type="expression" priority="13" aboveAverage="0" equalAverage="0" bottom="0" percent="0" rank="0" text="" dxfId="1">
      <formula>AND(ISNUMBER(M6),ISNUMBER(L6),M6&gt;=L6*0.7)</formula>
    </cfRule>
    <cfRule type="expression" priority="14" aboveAverage="0" equalAverage="0" bottom="0" percent="0" rank="0" text="" dxfId="2">
      <formula>AND(ISNUMBER(M6),ISNUMBER(L6))</formula>
    </cfRule>
  </conditionalFormatting>
  <conditionalFormatting sqref="O6:O36">
    <cfRule type="expression" priority="15" aboveAverage="0" equalAverage="0" bottom="0" percent="0" rank="0" text="" dxfId="0">
      <formula>AND(ISNUMBER(O6),ISNUMBER(N6),O6&gt;=N6)</formula>
    </cfRule>
    <cfRule type="expression" priority="16" aboveAverage="0" equalAverage="0" bottom="0" percent="0" rank="0" text="" dxfId="1">
      <formula>AND(ISNUMBER(O6),ISNUMBER(N6),O6&gt;=N6*0.7)</formula>
    </cfRule>
    <cfRule type="expression" priority="17" aboveAverage="0" equalAverage="0" bottom="0" percent="0" rank="0" text="" dxfId="2">
      <formula>AND(ISNUMBER(O6),ISNUMBER(N6))</formula>
    </cfRule>
  </conditionalFormatting>
  <conditionalFormatting sqref="P6:P36">
    <cfRule type="expression" priority="18" aboveAverage="0" equalAverage="0" bottom="0" percent="0" rank="0" text="" dxfId="0">
      <formula>AND(ISNUMBER(P6),ISNUMBER(P$4),P6&lt;=P$4)</formula>
    </cfRule>
    <cfRule type="expression" priority="19" aboveAverage="0" equalAverage="0" bottom="0" percent="0" rank="0" text="" dxfId="1">
      <formula>AND(ISNUMBER(P6),ISNUMBER(P$4),P6&lt;=P$4*1.2)</formula>
    </cfRule>
    <cfRule type="expression" priority="20" aboveAverage="0" equalAverage="0" bottom="0" percent="0" rank="0" text="" dxfId="2">
      <formula>AND(ISNUMBER(P6),ISNUMBER(P$4))</formula>
    </cfRule>
  </conditionalFormatting>
  <conditionalFormatting sqref="Q6:Q36">
    <cfRule type="expression" priority="21" aboveAverage="0" equalAverage="0" bottom="0" percent="0" rank="0" text="" dxfId="0">
      <formula>AND(ISNUMBER(Q6),ISNUMBER(Q$4),Q6&lt;=Q$4)</formula>
    </cfRule>
    <cfRule type="expression" priority="22" aboveAverage="0" equalAverage="0" bottom="0" percent="0" rank="0" text="" dxfId="1">
      <formula>AND(ISNUMBER(Q6),ISNUMBER(Q$4),Q6&lt;=Q$4*1.2)</formula>
    </cfRule>
    <cfRule type="expression" priority="23" aboveAverage="0" equalAverage="0" bottom="0" percent="0" rank="0" text="" dxfId="2">
      <formula>AND(ISNUMBER(Q6),ISNUMBER(Q$4))</formula>
    </cfRule>
  </conditionalFormatting>
  <conditionalFormatting sqref="R6:R36">
    <cfRule type="expression" priority="24" aboveAverage="0" equalAverage="0" bottom="0" percent="0" rank="0" text="" dxfId="0">
      <formula>AND(ISNUMBER(R6),ISNUMBER(R$4),R6&lt;=R$4)</formula>
    </cfRule>
    <cfRule type="expression" priority="25" aboveAverage="0" equalAverage="0" bottom="0" percent="0" rank="0" text="" dxfId="1">
      <formula>AND(ISNUMBER(R6),ISNUMBER(R$4),R6&lt;=R$4*1.2)</formula>
    </cfRule>
    <cfRule type="expression" priority="26" aboveAverage="0" equalAverage="0" bottom="0" percent="0" rank="0" text="" dxfId="2">
      <formula>AND(ISNUMBER(R6),ISNUMBER(R$4))</formula>
    </cfRule>
  </conditionalFormatting>
  <conditionalFormatting sqref="S6:S36">
    <cfRule type="expression" priority="27" aboveAverage="0" equalAverage="0" bottom="0" percent="0" rank="0" text="" dxfId="0">
      <formula>AND(ISNUMBER(S6),ISNUMBER(S$4),S6&lt;=S$4)</formula>
    </cfRule>
    <cfRule type="expression" priority="28" aboveAverage="0" equalAverage="0" bottom="0" percent="0" rank="0" text="" dxfId="1">
      <formula>AND(ISNUMBER(S6),ISNUMBER(S$4),S6&lt;=S$4*1.2)</formula>
    </cfRule>
    <cfRule type="expression" priority="29" aboveAverage="0" equalAverage="0" bottom="0" percent="0" rank="0" text="" dxfId="2">
      <formula>AND(ISNUMBER(S6),ISNUMBER(S$4))</formula>
    </cfRule>
  </conditionalFormatting>
  <dataValidations count="2">
    <dataValidation allowBlank="false" error="Informe um número maior ou igual a zero." errorStyle="stop" operator="greaterThanOrEqual" showDropDown="false" showErrorMessage="true" showInputMessage="false" sqref="G6:G36" type="decimal">
      <formula1>0</formula1>
      <formula2>0</formula2>
    </dataValidation>
    <dataValidation allowBlank="false" error="Use um número inteiro (não existe meio lead ou meia venda)." errorStyle="stop" operator="greaterThanOrEqual" showDropDown="false" showErrorMessage="true" showInputMessage="false" sqref="I6:I36 K6:K36 M6:M36 O6:O3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C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1" min="2" style="0" width="15"/>
  </cols>
  <sheetData>
    <row r="1" customFormat="false" ht="19.7" hidden="false" customHeight="false" outlineLevel="0" collapsed="false">
      <c r="A1" s="1" t="s">
        <v>89</v>
      </c>
    </row>
    <row r="2" customFormat="false" ht="15" hidden="false" customHeight="true" outlineLevel="0" collapsed="false">
      <c r="A2" s="3" t="s">
        <v>90</v>
      </c>
      <c r="B2" s="12" t="n">
        <f aca="false">SUM(C6:C36)</f>
        <v>21</v>
      </c>
      <c r="D2" s="3" t="s">
        <v>91</v>
      </c>
      <c r="E2" s="22" t="n">
        <f aca="false">DATE(YEAR('Base de Dados'!$B$4),MONTH('Base de Dados'!$B$4),1)</f>
        <v>46296</v>
      </c>
      <c r="J2" s="40" t="s">
        <v>92</v>
      </c>
      <c r="K2" s="40"/>
      <c r="L2" s="40"/>
      <c r="M2" s="40"/>
      <c r="N2" s="40"/>
      <c r="O2" s="40"/>
      <c r="P2" s="40" t="s">
        <v>93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 t="s">
        <v>94</v>
      </c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 t="s">
        <v>95</v>
      </c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 t="s">
        <v>96</v>
      </c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</row>
    <row r="3" customFormat="false" ht="15" hidden="false" customHeight="false" outlineLevel="0" collapsed="false">
      <c r="A3" s="3" t="s">
        <v>97</v>
      </c>
      <c r="B3" s="12" t="n">
        <f aca="false">COUNTIFS(C6:C36,1,A6:A36,"&lt;"&amp;'Base de Dados'!$B$6)</f>
        <v>7</v>
      </c>
      <c r="D3" s="3" t="s">
        <v>98</v>
      </c>
      <c r="E3" s="7" t="n">
        <f aca="false">E2-WEEKDAY(E2,2)+1</f>
        <v>46293</v>
      </c>
      <c r="J3" s="23" t="n">
        <f aca="false">N('Base de Dados'!$B$5)</f>
        <v>30000</v>
      </c>
      <c r="P3" s="25" t="n">
        <f aca="false">N('Base de Dados'!$E$10)</f>
        <v>858</v>
      </c>
      <c r="AI3" s="25" t="n">
        <f aca="false">N('Base de Dados'!$E$11)</f>
        <v>172</v>
      </c>
      <c r="BB3" s="25" t="n">
        <f aca="false">N('Base de Dados'!$E$12)</f>
        <v>104</v>
      </c>
      <c r="BU3" s="25" t="n">
        <f aca="false">N('Base de Dados'!$E$13)</f>
        <v>32</v>
      </c>
    </row>
    <row r="5" customFormat="false" ht="35.05" hidden="false" customHeight="false" outlineLevel="0" collapsed="false">
      <c r="A5" s="9" t="s">
        <v>79</v>
      </c>
      <c r="B5" s="9" t="s">
        <v>61</v>
      </c>
      <c r="C5" s="9" t="s">
        <v>99</v>
      </c>
      <c r="D5" s="9" t="s">
        <v>100</v>
      </c>
      <c r="E5" s="9" t="s">
        <v>101</v>
      </c>
      <c r="F5" s="9" t="s">
        <v>102</v>
      </c>
      <c r="G5" s="9" t="s">
        <v>103</v>
      </c>
      <c r="H5" s="9" t="s">
        <v>104</v>
      </c>
      <c r="J5" s="9" t="s">
        <v>105</v>
      </c>
      <c r="K5" s="9" t="s">
        <v>106</v>
      </c>
      <c r="L5" s="9" t="s">
        <v>107</v>
      </c>
      <c r="M5" s="9" t="s">
        <v>108</v>
      </c>
      <c r="N5" s="9" t="s">
        <v>109</v>
      </c>
      <c r="O5" s="9" t="s">
        <v>110</v>
      </c>
      <c r="P5" s="9" t="s">
        <v>111</v>
      </c>
      <c r="Q5" s="9" t="s">
        <v>106</v>
      </c>
      <c r="R5" s="9" t="s">
        <v>112</v>
      </c>
      <c r="S5" s="9" t="s">
        <v>113</v>
      </c>
      <c r="T5" s="9" t="s">
        <v>114</v>
      </c>
      <c r="U5" s="9" t="s">
        <v>115</v>
      </c>
      <c r="V5" s="9" t="s">
        <v>116</v>
      </c>
      <c r="W5" s="9" t="s">
        <v>117</v>
      </c>
      <c r="X5" s="9" t="s">
        <v>118</v>
      </c>
      <c r="Y5" s="9" t="s">
        <v>119</v>
      </c>
      <c r="Z5" s="9" t="s">
        <v>120</v>
      </c>
      <c r="AA5" s="9" t="s">
        <v>121</v>
      </c>
      <c r="AB5" s="9" t="s">
        <v>122</v>
      </c>
      <c r="AC5" s="9" t="s">
        <v>123</v>
      </c>
      <c r="AD5" s="9" t="s">
        <v>107</v>
      </c>
      <c r="AE5" s="9" t="s">
        <v>108</v>
      </c>
      <c r="AF5" s="9" t="s">
        <v>124</v>
      </c>
      <c r="AG5" s="9" t="s">
        <v>109</v>
      </c>
      <c r="AH5" s="9" t="s">
        <v>110</v>
      </c>
      <c r="AI5" s="9" t="s">
        <v>125</v>
      </c>
      <c r="AJ5" s="9" t="s">
        <v>106</v>
      </c>
      <c r="AK5" s="9" t="s">
        <v>112</v>
      </c>
      <c r="AL5" s="9" t="s">
        <v>113</v>
      </c>
      <c r="AM5" s="9" t="s">
        <v>114</v>
      </c>
      <c r="AN5" s="9" t="s">
        <v>115</v>
      </c>
      <c r="AO5" s="9" t="s">
        <v>116</v>
      </c>
      <c r="AP5" s="9" t="s">
        <v>117</v>
      </c>
      <c r="AQ5" s="9" t="s">
        <v>118</v>
      </c>
      <c r="AR5" s="9" t="s">
        <v>119</v>
      </c>
      <c r="AS5" s="9" t="s">
        <v>120</v>
      </c>
      <c r="AT5" s="9" t="s">
        <v>121</v>
      </c>
      <c r="AU5" s="9" t="s">
        <v>122</v>
      </c>
      <c r="AV5" s="9" t="s">
        <v>123</v>
      </c>
      <c r="AW5" s="9" t="s">
        <v>107</v>
      </c>
      <c r="AX5" s="9" t="s">
        <v>108</v>
      </c>
      <c r="AY5" s="9" t="s">
        <v>124</v>
      </c>
      <c r="AZ5" s="9" t="s">
        <v>109</v>
      </c>
      <c r="BA5" s="9" t="s">
        <v>110</v>
      </c>
      <c r="BB5" s="9" t="s">
        <v>126</v>
      </c>
      <c r="BC5" s="9" t="s">
        <v>106</v>
      </c>
      <c r="BD5" s="9" t="s">
        <v>112</v>
      </c>
      <c r="BE5" s="9" t="s">
        <v>113</v>
      </c>
      <c r="BF5" s="9" t="s">
        <v>114</v>
      </c>
      <c r="BG5" s="9" t="s">
        <v>115</v>
      </c>
      <c r="BH5" s="9" t="s">
        <v>116</v>
      </c>
      <c r="BI5" s="9" t="s">
        <v>117</v>
      </c>
      <c r="BJ5" s="9" t="s">
        <v>118</v>
      </c>
      <c r="BK5" s="9" t="s">
        <v>119</v>
      </c>
      <c r="BL5" s="9" t="s">
        <v>120</v>
      </c>
      <c r="BM5" s="9" t="s">
        <v>121</v>
      </c>
      <c r="BN5" s="9" t="s">
        <v>122</v>
      </c>
      <c r="BO5" s="9" t="s">
        <v>123</v>
      </c>
      <c r="BP5" s="9" t="s">
        <v>107</v>
      </c>
      <c r="BQ5" s="9" t="s">
        <v>108</v>
      </c>
      <c r="BR5" s="9" t="s">
        <v>124</v>
      </c>
      <c r="BS5" s="9" t="s">
        <v>109</v>
      </c>
      <c r="BT5" s="9" t="s">
        <v>110</v>
      </c>
      <c r="BU5" s="9" t="s">
        <v>127</v>
      </c>
      <c r="BV5" s="9" t="s">
        <v>106</v>
      </c>
      <c r="BW5" s="9" t="s">
        <v>112</v>
      </c>
      <c r="BX5" s="9" t="s">
        <v>113</v>
      </c>
      <c r="BY5" s="9" t="s">
        <v>114</v>
      </c>
      <c r="BZ5" s="9" t="s">
        <v>115</v>
      </c>
      <c r="CA5" s="9" t="s">
        <v>116</v>
      </c>
      <c r="CB5" s="9" t="s">
        <v>117</v>
      </c>
      <c r="CC5" s="9" t="s">
        <v>118</v>
      </c>
      <c r="CD5" s="9" t="s">
        <v>119</v>
      </c>
      <c r="CE5" s="9" t="s">
        <v>120</v>
      </c>
      <c r="CF5" s="9" t="s">
        <v>121</v>
      </c>
      <c r="CG5" s="9" t="s">
        <v>122</v>
      </c>
      <c r="CH5" s="9" t="s">
        <v>123</v>
      </c>
      <c r="CI5" s="9" t="s">
        <v>107</v>
      </c>
      <c r="CJ5" s="9" t="s">
        <v>108</v>
      </c>
      <c r="CK5" s="9" t="s">
        <v>124</v>
      </c>
      <c r="CL5" s="9" t="s">
        <v>109</v>
      </c>
      <c r="CM5" s="9" t="s">
        <v>110</v>
      </c>
    </row>
    <row r="6" customFormat="false" ht="15" hidden="false" customHeight="false" outlineLevel="0" collapsed="false">
      <c r="A6" s="7" t="n">
        <f aca="false">IF($E$2+0&lt;=EOMONTH($E$2,0),$E$2+0,"")</f>
        <v>46296</v>
      </c>
      <c r="B6" s="41" t="n">
        <f aca="false">IF(A6="","",IF(COUNTIFS(H$6:H$36,H6,C$6:C$36,1)=0,"",IF(H6=H5,B5,1+MAX(B$5:B5))))</f>
        <v>1</v>
      </c>
      <c r="C6" s="41" t="n">
        <f aca="false">IF(A6="",0,IF(AND(WEEKDAY(A6,2)&lt;=5,COUNTIF(Folgas!$A$5:$A$300,A6)=0),1,0))</f>
        <v>1</v>
      </c>
      <c r="D6" s="41" t="n">
        <f aca="false">IF(C6=1,COUNTIFS(B$6:B6,B6,C$6:C6,1),0)</f>
        <v>1</v>
      </c>
      <c r="E6" s="41" t="n">
        <f aca="false">IF(OR(A6="",B6=""),0,COUNTIFS(B$6:B$36,B6,C$6:C$36,1))</f>
        <v>2</v>
      </c>
      <c r="F6" s="41" t="n">
        <f aca="false">IF(OR(A6="",B6=""),0,COUNTIFS(B$6:B$36,"&gt;="&amp;B6,C$6:C$36,1))</f>
        <v>21</v>
      </c>
      <c r="G6" s="41" t="n">
        <f aca="false">IF(OR(A6="",B6=""),0,IF(B6=B5,0,1))</f>
        <v>1</v>
      </c>
      <c r="H6" s="41" t="n">
        <f aca="false">IF(A6="","",INT((A6-$E$3)/7)+1)</f>
        <v>1</v>
      </c>
      <c r="J6" s="13" t="n">
        <f aca="false">IF($A6="",0,IF('Meta Diária'!G6&lt;&gt;"",'Meta Diária'!G6,IF(AND($C6=1,$A6&gt;='Base de Dados'!$B$6),O6,0)))</f>
        <v>0</v>
      </c>
      <c r="K6" s="13" t="n">
        <v>0</v>
      </c>
      <c r="L6" s="13" t="n">
        <f aca="false">IF($A6="","",IF($G6=1,IF($B$2=0,0,$J$3*$E6/$B$2),L5))</f>
        <v>2857.14285714286</v>
      </c>
      <c r="M6" s="13" t="n">
        <f aca="false">IF($A6="","",IF($G6=1,IF('Base de Dados'!$B$7="Sim",IF($F6=0,0,MAX($J$3-K6,0)*$E6/$F6),MAX(L6,IF($F6=0,0,MAX($J$3-K6,0)*$E6/$F6))),M5))</f>
        <v>2857.14285714286</v>
      </c>
      <c r="N6" s="13" t="n">
        <f aca="false">IF($C6=1,M6/$E6,"")</f>
        <v>1428.57142857143</v>
      </c>
      <c r="O6" s="13" t="n">
        <f aca="false">IF($C6&lt;&gt;1,"",IF('Base de Dados'!$B$7="Sim",MAX(M6-SUMIFS(J$5:J5,$B$5:$B5,$B6),0)/($E6-$D6+1),MAX(N6,MAX(M6-SUMIFS(J$5:J5,$B$5:$B5,$B6),0)/($E6-$D6+1))))</f>
        <v>1428.57142857143</v>
      </c>
      <c r="P6" s="12" t="n">
        <f aca="false">IF($A6="",0,IF('Meta Diária'!I6&lt;&gt;"",'Meta Diária'!I6,IF(AND($C6=1,$A6&gt;='Base de Dados'!$B$6),AH6,0)))</f>
        <v>0</v>
      </c>
      <c r="Q6" s="12" t="n">
        <v>0</v>
      </c>
      <c r="R6" s="41" t="n">
        <f aca="false">IF($G6=1,IF(Q6&lt;S6-0.000000001,1,0),"")</f>
        <v>0</v>
      </c>
      <c r="S6" s="12" t="n">
        <f aca="false">IF($G6=1,SUMIFS(AD$5:AD5,$G$5:$G5,1),"")</f>
        <v>0</v>
      </c>
      <c r="T6" s="12" t="n">
        <f aca="false">IF($G6=1,IF(AND($E6&gt;=1,($F6-0)&gt;0),IF(R6=1,ROUNDUP(ROUND((MAX($P$3-Q6,0)-(0))/($F6-0),6),0),ROUND((MAX($P$3-Q6,0)-(0))/($F6-0),0)),0),"")</f>
        <v>41</v>
      </c>
      <c r="U6" s="12" t="n">
        <f aca="false">IF($G6=1,IF(AND($E6&gt;=2,($F6-1)&gt;0),IF(R6=1,ROUNDUP(ROUND((MAX($P$3-Q6,0)-(T6))/($F6-1),6),0),ROUND((MAX($P$3-Q6,0)-(T6))/($F6-1),0)),0),"")</f>
        <v>41</v>
      </c>
      <c r="V6" s="12" t="n">
        <f aca="false">IF($G6=1,IF(AND($E6&gt;=3,($F6-2)&gt;0),IF(R6=1,ROUNDUP(ROUND((MAX($P$3-Q6,0)-(T6+U6))/($F6-2),6),0),ROUND((MAX($P$3-Q6,0)-(T6+U6))/($F6-2),0)),0),"")</f>
        <v>0</v>
      </c>
      <c r="W6" s="12" t="n">
        <f aca="false">IF($G6=1,IF(AND($E6&gt;=4,($F6-3)&gt;0),IF(R6=1,ROUNDUP(ROUND((MAX($P$3-Q6,0)-(T6+U6+V6))/($F6-3),6),0),ROUND((MAX($P$3-Q6,0)-(T6+U6+V6))/($F6-3),0)),0),"")</f>
        <v>0</v>
      </c>
      <c r="X6" s="12" t="n">
        <f aca="false">IF($G6=1,IF(AND($E6&gt;=5,($F6-4)&gt;0),IF(R6=1,ROUNDUP(ROUND((MAX($P$3-Q6,0)-(T6+U6+V6+W6))/($F6-4),6),0),ROUND((MAX($P$3-Q6,0)-(T6+U6+V6+W6))/($F6-4),0)),0),"")</f>
        <v>0</v>
      </c>
      <c r="Y6" s="12" t="n">
        <f aca="false">IF($G6=1,IF(AND($E6&gt;=1,($F6-0)&gt;0),ROUND((($P$3-S6)-(0))/($F6-0),0),0),"")</f>
        <v>41</v>
      </c>
      <c r="Z6" s="12" t="n">
        <f aca="false">IF($G6=1,IF(AND($E6&gt;=2,($F6-1)&gt;0),ROUND((($P$3-S6)-(Y6))/($F6-1),0),0),"")</f>
        <v>41</v>
      </c>
      <c r="AA6" s="12" t="n">
        <f aca="false">IF($G6=1,IF(AND($E6&gt;=3,($F6-2)&gt;0),ROUND((($P$3-S6)-(Y6+Z6))/($F6-2),0),0),"")</f>
        <v>0</v>
      </c>
      <c r="AB6" s="12" t="n">
        <f aca="false">IF($G6=1,IF(AND($E6&gt;=4,($F6-3)&gt;0),ROUND((($P$3-S6)-(Y6+Z6+AA6))/($F6-3),0),0),"")</f>
        <v>0</v>
      </c>
      <c r="AC6" s="12" t="n">
        <f aca="false">IF($G6=1,IF(AND($E6&gt;=5,($F6-4)&gt;0),ROUND((($P$3-S6)-(Y6+Z6+AA6+AB6))/($F6-4),0),0),"")</f>
        <v>0</v>
      </c>
      <c r="AD6" s="12" t="n">
        <f aca="false">IF($A6="","",IF($G6=1,(Y6+Z6+AA6+AB6+AC6),AD5))</f>
        <v>82</v>
      </c>
      <c r="AE6" s="12" t="n">
        <f aca="false">IF($A6="","",IF($G6=1,IF('Base de Dados'!$B$7="Sim",(T6+U6+V6+W6+X6),MAX(AD6,(T6+U6+V6+W6+X6))),AE5))</f>
        <v>82</v>
      </c>
      <c r="AF6" s="12" t="n">
        <f aca="false">IF($A6="","",IF($G6=1,AD6,AF5-N(AG5)))</f>
        <v>82</v>
      </c>
      <c r="AG6" s="12" t="n">
        <f aca="false">IF($C6=1,ROUND(AF6/($E6-$D6+1),0),"")</f>
        <v>41</v>
      </c>
      <c r="AH6" s="12" t="n">
        <f aca="false">IF($C6&lt;&gt;1,"",IF('Base de Dados'!$B$7="Sim",IF(SUMIFS(P$5:P5,$B$5:$B5,$B6)&lt;SUMIFS(AG$5:AG5,$B$5:$B5,$B6)-0.000000001,ROUNDUP(ROUND(MAX(AE6-SUMIFS(P$5:P5,$B$5:$B5,$B6),0)/($E6-$D6+1),6),0),ROUND(MAX(AE6-SUMIFS(P$5:P5,$B$5:$B5,$B6),0)/($E6-$D6+1),0)),MAX(AG6,IF(SUMIFS(P$5:P5,$B$5:$B5,$B6)&lt;SUMIFS(AG$5:AG5,$B$5:$B5,$B6)-0.000000001,ROUNDUP(ROUND(MAX(AE6-SUMIFS(P$5:P5,$B$5:$B5,$B6),0)/($E6-$D6+1),6),0),ROUND(MAX(AE6-SUMIFS(P$5:P5,$B$5:$B5,$B6),0)/($E6-$D6+1),0)))))</f>
        <v>41</v>
      </c>
      <c r="AI6" s="12" t="n">
        <f aca="false">IF($A6="",0,IF('Meta Diária'!K6&lt;&gt;"",'Meta Diária'!K6,IF(AND($C6=1,$A6&gt;='Base de Dados'!$B$6),BA6,0)))</f>
        <v>0</v>
      </c>
      <c r="AJ6" s="12" t="n">
        <v>0</v>
      </c>
      <c r="AK6" s="41" t="n">
        <f aca="false">IF($G6=1,IF(AJ6&lt;AL6-0.000000001,1,0),"")</f>
        <v>0</v>
      </c>
      <c r="AL6" s="12" t="n">
        <f aca="false">IF($G6=1,SUMIFS(AW$5:AW5,$G$5:$G5,1),"")</f>
        <v>0</v>
      </c>
      <c r="AM6" s="12" t="n">
        <f aca="false">IF($G6=1,IF(AND($E6&gt;=1,($F6-0)&gt;0),IF(AK6=1,ROUNDUP(ROUND((MAX($AI$3-AJ6,0)-(0))/($F6-0),6),0),ROUND((MAX($AI$3-AJ6,0)-(0))/($F6-0),0)),0),"")</f>
        <v>8</v>
      </c>
      <c r="AN6" s="12" t="n">
        <f aca="false">IF($G6=1,IF(AND($E6&gt;=2,($F6-1)&gt;0),IF(AK6=1,ROUNDUP(ROUND((MAX($AI$3-AJ6,0)-(AM6))/($F6-1),6),0),ROUND((MAX($AI$3-AJ6,0)-(AM6))/($F6-1),0)),0),"")</f>
        <v>8</v>
      </c>
      <c r="AO6" s="12" t="n">
        <f aca="false">IF($G6=1,IF(AND($E6&gt;=3,($F6-2)&gt;0),IF(AK6=1,ROUNDUP(ROUND((MAX($AI$3-AJ6,0)-(AM6+AN6))/($F6-2),6),0),ROUND((MAX($AI$3-AJ6,0)-(AM6+AN6))/($F6-2),0)),0),"")</f>
        <v>0</v>
      </c>
      <c r="AP6" s="12" t="n">
        <f aca="false">IF($G6=1,IF(AND($E6&gt;=4,($F6-3)&gt;0),IF(AK6=1,ROUNDUP(ROUND((MAX($AI$3-AJ6,0)-(AM6+AN6+AO6))/($F6-3),6),0),ROUND((MAX($AI$3-AJ6,0)-(AM6+AN6+AO6))/($F6-3),0)),0),"")</f>
        <v>0</v>
      </c>
      <c r="AQ6" s="12" t="n">
        <f aca="false">IF($G6=1,IF(AND($E6&gt;=5,($F6-4)&gt;0),IF(AK6=1,ROUNDUP(ROUND((MAX($AI$3-AJ6,0)-(AM6+AN6+AO6+AP6))/($F6-4),6),0),ROUND((MAX($AI$3-AJ6,0)-(AM6+AN6+AO6+AP6))/($F6-4),0)),0),"")</f>
        <v>0</v>
      </c>
      <c r="AR6" s="12" t="n">
        <f aca="false">IF($G6=1,IF(AND($E6&gt;=1,($F6-0)&gt;0),ROUND((($AI$3-AL6)-(0))/($F6-0),0),0),"")</f>
        <v>8</v>
      </c>
      <c r="AS6" s="12" t="n">
        <f aca="false">IF($G6=1,IF(AND($E6&gt;=2,($F6-1)&gt;0),ROUND((($AI$3-AL6)-(AR6))/($F6-1),0),0),"")</f>
        <v>8</v>
      </c>
      <c r="AT6" s="12" t="n">
        <f aca="false">IF($G6=1,IF(AND($E6&gt;=3,($F6-2)&gt;0),ROUND((($AI$3-AL6)-(AR6+AS6))/($F6-2),0),0),"")</f>
        <v>0</v>
      </c>
      <c r="AU6" s="12" t="n">
        <f aca="false">IF($G6=1,IF(AND($E6&gt;=4,($F6-3)&gt;0),ROUND((($AI$3-AL6)-(AR6+AS6+AT6))/($F6-3),0),0),"")</f>
        <v>0</v>
      </c>
      <c r="AV6" s="12" t="n">
        <f aca="false">IF($G6=1,IF(AND($E6&gt;=5,($F6-4)&gt;0),ROUND((($AI$3-AL6)-(AR6+AS6+AT6+AU6))/($F6-4),0),0),"")</f>
        <v>0</v>
      </c>
      <c r="AW6" s="12" t="n">
        <f aca="false">IF($A6="","",IF($G6=1,(AR6+AS6+AT6+AU6+AV6),AW5))</f>
        <v>16</v>
      </c>
      <c r="AX6" s="12" t="n">
        <f aca="false">IF($A6="","",IF($G6=1,IF('Base de Dados'!$B$7="Sim",(AM6+AN6+AO6+AP6+AQ6),MAX(AW6,(AM6+AN6+AO6+AP6+AQ6))),AX5))</f>
        <v>16</v>
      </c>
      <c r="AY6" s="12" t="n">
        <f aca="false">IF($A6="","",IF($G6=1,AW6,AY5-N(AZ5)))</f>
        <v>16</v>
      </c>
      <c r="AZ6" s="12" t="n">
        <f aca="false">IF($C6=1,ROUND(AY6/($E6-$D6+1),0),"")</f>
        <v>8</v>
      </c>
      <c r="BA6" s="12" t="n">
        <f aca="false">IF($C6&lt;&gt;1,"",IF('Base de Dados'!$B$7="Sim",IF(SUMIFS(AI$5:AI5,$B$5:$B5,$B6)&lt;SUMIFS(AZ$5:AZ5,$B$5:$B5,$B6)-0.000000001,ROUNDUP(ROUND(MAX(AX6-SUMIFS(AI$5:AI5,$B$5:$B5,$B6),0)/($E6-$D6+1),6),0),ROUND(MAX(AX6-SUMIFS(AI$5:AI5,$B$5:$B5,$B6),0)/($E6-$D6+1),0)),MAX(AZ6,IF(SUMIFS(AI$5:AI5,$B$5:$B5,$B6)&lt;SUMIFS(AZ$5:AZ5,$B$5:$B5,$B6)-0.000000001,ROUNDUP(ROUND(MAX(AX6-SUMIFS(AI$5:AI5,$B$5:$B5,$B6),0)/($E6-$D6+1),6),0),ROUND(MAX(AX6-SUMIFS(AI$5:AI5,$B$5:$B5,$B6),0)/($E6-$D6+1),0)))))</f>
        <v>8</v>
      </c>
      <c r="BB6" s="12" t="n">
        <f aca="false">IF($A6="",0,IF('Meta Diária'!M6&lt;&gt;"",'Meta Diária'!M6,IF(AND($C6=1,$A6&gt;='Base de Dados'!$B$6),BT6,0)))</f>
        <v>0</v>
      </c>
      <c r="BC6" s="12" t="n">
        <v>0</v>
      </c>
      <c r="BD6" s="41" t="n">
        <f aca="false">IF($G6=1,IF(BC6&lt;BE6-0.000000001,1,0),"")</f>
        <v>0</v>
      </c>
      <c r="BE6" s="12" t="n">
        <f aca="false">IF($G6=1,SUMIFS(BP$5:BP5,$G$5:$G5,1),"")</f>
        <v>0</v>
      </c>
      <c r="BF6" s="12" t="n">
        <f aca="false">IF($G6=1,IF(AND($E6&gt;=1,($F6-0)&gt;0),IF(BD6=1,ROUNDUP(ROUND((MAX($BB$3-BC6,0)-(0))/($F6-0),6),0),ROUND((MAX($BB$3-BC6,0)-(0))/($F6-0),0)),0),"")</f>
        <v>5</v>
      </c>
      <c r="BG6" s="12" t="n">
        <f aca="false">IF($G6=1,IF(AND($E6&gt;=2,($F6-1)&gt;0),IF(BD6=1,ROUNDUP(ROUND((MAX($BB$3-BC6,0)-(BF6))/($F6-1),6),0),ROUND((MAX($BB$3-BC6,0)-(BF6))/($F6-1),0)),0),"")</f>
        <v>5</v>
      </c>
      <c r="BH6" s="12" t="n">
        <f aca="false">IF($G6=1,IF(AND($E6&gt;=3,($F6-2)&gt;0),IF(BD6=1,ROUNDUP(ROUND((MAX($BB$3-BC6,0)-(BF6+BG6))/($F6-2),6),0),ROUND((MAX($BB$3-BC6,0)-(BF6+BG6))/($F6-2),0)),0),"")</f>
        <v>0</v>
      </c>
      <c r="BI6" s="12" t="n">
        <f aca="false">IF($G6=1,IF(AND($E6&gt;=4,($F6-3)&gt;0),IF(BD6=1,ROUNDUP(ROUND((MAX($BB$3-BC6,0)-(BF6+BG6+BH6))/($F6-3),6),0),ROUND((MAX($BB$3-BC6,0)-(BF6+BG6+BH6))/($F6-3),0)),0),"")</f>
        <v>0</v>
      </c>
      <c r="BJ6" s="12" t="n">
        <f aca="false">IF($G6=1,IF(AND($E6&gt;=5,($F6-4)&gt;0),IF(BD6=1,ROUNDUP(ROUND((MAX($BB$3-BC6,0)-(BF6+BG6+BH6+BI6))/($F6-4),6),0),ROUND((MAX($BB$3-BC6,0)-(BF6+BG6+BH6+BI6))/($F6-4),0)),0),"")</f>
        <v>0</v>
      </c>
      <c r="BK6" s="12" t="n">
        <f aca="false">IF($G6=1,IF(AND($E6&gt;=1,($F6-0)&gt;0),ROUND((($BB$3-BE6)-(0))/($F6-0),0),0),"")</f>
        <v>5</v>
      </c>
      <c r="BL6" s="12" t="n">
        <f aca="false">IF($G6=1,IF(AND($E6&gt;=2,($F6-1)&gt;0),ROUND((($BB$3-BE6)-(BK6))/($F6-1),0),0),"")</f>
        <v>5</v>
      </c>
      <c r="BM6" s="12" t="n">
        <f aca="false">IF($G6=1,IF(AND($E6&gt;=3,($F6-2)&gt;0),ROUND((($BB$3-BE6)-(BK6+BL6))/($F6-2),0),0),"")</f>
        <v>0</v>
      </c>
      <c r="BN6" s="12" t="n">
        <f aca="false">IF($G6=1,IF(AND($E6&gt;=4,($F6-3)&gt;0),ROUND((($BB$3-BE6)-(BK6+BL6+BM6))/($F6-3),0),0),"")</f>
        <v>0</v>
      </c>
      <c r="BO6" s="12" t="n">
        <f aca="false">IF($G6=1,IF(AND($E6&gt;=5,($F6-4)&gt;0),ROUND((($BB$3-BE6)-(BK6+BL6+BM6+BN6))/($F6-4),0),0),"")</f>
        <v>0</v>
      </c>
      <c r="BP6" s="12" t="n">
        <f aca="false">IF($A6="","",IF($G6=1,(BK6+BL6+BM6+BN6+BO6),BP5))</f>
        <v>10</v>
      </c>
      <c r="BQ6" s="12" t="n">
        <f aca="false">IF($A6="","",IF($G6=1,IF('Base de Dados'!$B$7="Sim",(BF6+BG6+BH6+BI6+BJ6),MAX(BP6,(BF6+BG6+BH6+BI6+BJ6))),BQ5))</f>
        <v>10</v>
      </c>
      <c r="BR6" s="12" t="n">
        <f aca="false">IF($A6="","",IF($G6=1,BP6,BR5-N(BS5)))</f>
        <v>10</v>
      </c>
      <c r="BS6" s="12" t="n">
        <f aca="false">IF($C6=1,ROUND(BR6/($E6-$D6+1),0),"")</f>
        <v>5</v>
      </c>
      <c r="BT6" s="12" t="n">
        <f aca="false">IF($C6&lt;&gt;1,"",IF('Base de Dados'!$B$7="Sim",IF(SUMIFS(BB$5:BB5,$B$5:$B5,$B6)&lt;SUMIFS(BS$5:BS5,$B$5:$B5,$B6)-0.000000001,ROUNDUP(ROUND(MAX(BQ6-SUMIFS(BB$5:BB5,$B$5:$B5,$B6),0)/($E6-$D6+1),6),0),ROUND(MAX(BQ6-SUMIFS(BB$5:BB5,$B$5:$B5,$B6),0)/($E6-$D6+1),0)),MAX(BS6,IF(SUMIFS(BB$5:BB5,$B$5:$B5,$B6)&lt;SUMIFS(BS$5:BS5,$B$5:$B5,$B6)-0.000000001,ROUNDUP(ROUND(MAX(BQ6-SUMIFS(BB$5:BB5,$B$5:$B5,$B6),0)/($E6-$D6+1),6),0),ROUND(MAX(BQ6-SUMIFS(BB$5:BB5,$B$5:$B5,$B6),0)/($E6-$D6+1),0)))))</f>
        <v>5</v>
      </c>
      <c r="BU6" s="12" t="n">
        <f aca="false">IF($A6="",0,IF('Meta Diária'!O6&lt;&gt;"",'Meta Diária'!O6,IF(AND($C6=1,$A6&gt;='Base de Dados'!$B$6),CM6,0)))</f>
        <v>0</v>
      </c>
      <c r="BV6" s="12" t="n">
        <v>0</v>
      </c>
      <c r="BW6" s="41" t="n">
        <f aca="false">IF($G6=1,IF(BV6&lt;BX6-0.000000001,1,0),"")</f>
        <v>0</v>
      </c>
      <c r="BX6" s="12" t="n">
        <f aca="false">IF($G6=1,SUMIFS(CI$5:CI5,$G$5:$G5,1),"")</f>
        <v>0</v>
      </c>
      <c r="BY6" s="12" t="n">
        <f aca="false">IF($G6=1,IF(AND($E6&gt;=1,($F6-0)&gt;0),IF(BW6=1,ROUNDUP(ROUND((MAX($BU$3-BV6,0)-(0))/($F6-0),6),0),ROUND((MAX($BU$3-BV6,0)-(0))/($F6-0),0)),0),"")</f>
        <v>2</v>
      </c>
      <c r="BZ6" s="12" t="n">
        <f aca="false">IF($G6=1,IF(AND($E6&gt;=2,($F6-1)&gt;0),IF(BW6=1,ROUNDUP(ROUND((MAX($BU$3-BV6,0)-(BY6))/($F6-1),6),0),ROUND((MAX($BU$3-BV6,0)-(BY6))/($F6-1),0)),0),"")</f>
        <v>2</v>
      </c>
      <c r="CA6" s="12" t="n">
        <f aca="false">IF($G6=1,IF(AND($E6&gt;=3,($F6-2)&gt;0),IF(BW6=1,ROUNDUP(ROUND((MAX($BU$3-BV6,0)-(BY6+BZ6))/($F6-2),6),0),ROUND((MAX($BU$3-BV6,0)-(BY6+BZ6))/($F6-2),0)),0),"")</f>
        <v>0</v>
      </c>
      <c r="CB6" s="12" t="n">
        <f aca="false">IF($G6=1,IF(AND($E6&gt;=4,($F6-3)&gt;0),IF(BW6=1,ROUNDUP(ROUND((MAX($BU$3-BV6,0)-(BY6+BZ6+CA6))/($F6-3),6),0),ROUND((MAX($BU$3-BV6,0)-(BY6+BZ6+CA6))/($F6-3),0)),0),"")</f>
        <v>0</v>
      </c>
      <c r="CC6" s="12" t="n">
        <f aca="false">IF($G6=1,IF(AND($E6&gt;=5,($F6-4)&gt;0),IF(BW6=1,ROUNDUP(ROUND((MAX($BU$3-BV6,0)-(BY6+BZ6+CA6+CB6))/($F6-4),6),0),ROUND((MAX($BU$3-BV6,0)-(BY6+BZ6+CA6+CB6))/($F6-4),0)),0),"")</f>
        <v>0</v>
      </c>
      <c r="CD6" s="12" t="n">
        <f aca="false">IF($G6=1,IF(AND($E6&gt;=1,($F6-0)&gt;0),ROUND((($BU$3-BX6)-(0))/($F6-0),0),0),"")</f>
        <v>2</v>
      </c>
      <c r="CE6" s="12" t="n">
        <f aca="false">IF($G6=1,IF(AND($E6&gt;=2,($F6-1)&gt;0),ROUND((($BU$3-BX6)-(CD6))/($F6-1),0),0),"")</f>
        <v>2</v>
      </c>
      <c r="CF6" s="12" t="n">
        <f aca="false">IF($G6=1,IF(AND($E6&gt;=3,($F6-2)&gt;0),ROUND((($BU$3-BX6)-(CD6+CE6))/($F6-2),0),0),"")</f>
        <v>0</v>
      </c>
      <c r="CG6" s="12" t="n">
        <f aca="false">IF($G6=1,IF(AND($E6&gt;=4,($F6-3)&gt;0),ROUND((($BU$3-BX6)-(CD6+CE6+CF6))/($F6-3),0),0),"")</f>
        <v>0</v>
      </c>
      <c r="CH6" s="12" t="n">
        <f aca="false">IF($G6=1,IF(AND($E6&gt;=5,($F6-4)&gt;0),ROUND((($BU$3-BX6)-(CD6+CE6+CF6+CG6))/($F6-4),0),0),"")</f>
        <v>0</v>
      </c>
      <c r="CI6" s="12" t="n">
        <f aca="false">IF($A6="","",IF($G6=1,(CD6+CE6+CF6+CG6+CH6),CI5))</f>
        <v>4</v>
      </c>
      <c r="CJ6" s="12" t="n">
        <f aca="false">IF($A6="","",IF($G6=1,IF('Base de Dados'!$B$7="Sim",(BY6+BZ6+CA6+CB6+CC6),MAX(CI6,(BY6+BZ6+CA6+CB6+CC6))),CJ5))</f>
        <v>4</v>
      </c>
      <c r="CK6" s="12" t="n">
        <f aca="false">IF($A6="","",IF($G6=1,CI6,CK5-N(CL5)))</f>
        <v>4</v>
      </c>
      <c r="CL6" s="12" t="n">
        <f aca="false">IF($C6=1,ROUND(CK6/($E6-$D6+1),0),"")</f>
        <v>2</v>
      </c>
      <c r="CM6" s="12" t="n">
        <f aca="false">IF($C6&lt;&gt;1,"",IF('Base de Dados'!$B$7="Sim",IF(SUMIFS(BU$5:BU5,$B$5:$B5,$B6)&lt;SUMIFS(CL$5:CL5,$B$5:$B5,$B6)-0.000000001,ROUNDUP(ROUND(MAX(CJ6-SUMIFS(BU$5:BU5,$B$5:$B5,$B6),0)/($E6-$D6+1),6),0),ROUND(MAX(CJ6-SUMIFS(BU$5:BU5,$B$5:$B5,$B6),0)/($E6-$D6+1),0)),MAX(CL6,IF(SUMIFS(BU$5:BU5,$B$5:$B5,$B6)&lt;SUMIFS(CL$5:CL5,$B$5:$B5,$B6)-0.000000001,ROUNDUP(ROUND(MAX(CJ6-SUMIFS(BU$5:BU5,$B$5:$B5,$B6),0)/($E6-$D6+1),6),0),ROUND(MAX(CJ6-SUMIFS(BU$5:BU5,$B$5:$B5,$B6),0)/($E6-$D6+1),0)))))</f>
        <v>2</v>
      </c>
    </row>
    <row r="7" customFormat="false" ht="15" hidden="false" customHeight="false" outlineLevel="0" collapsed="false">
      <c r="A7" s="7" t="n">
        <f aca="false">IF($E$2+1&lt;=EOMONTH($E$2,0),$E$2+1,"")</f>
        <v>46297</v>
      </c>
      <c r="B7" s="41" t="n">
        <f aca="false">IF(A7="","",IF(COUNTIFS(H$6:H$36,H7,C$6:C$36,1)=0,"",IF(H7=H6,B6,1+MAX(B$5:B6))))</f>
        <v>1</v>
      </c>
      <c r="C7" s="41" t="n">
        <f aca="false">IF(A7="",0,IF(AND(WEEKDAY(A7,2)&lt;=5,COUNTIF(Folgas!$A$5:$A$300,A7)=0),1,0))</f>
        <v>1</v>
      </c>
      <c r="D7" s="41" t="n">
        <f aca="false">IF(C7=1,COUNTIFS(B$6:B7,B7,C$6:C7,1),0)</f>
        <v>2</v>
      </c>
      <c r="E7" s="41" t="n">
        <f aca="false">IF(OR(A7="",B7=""),0,COUNTIFS(B$6:B$36,B7,C$6:C$36,1))</f>
        <v>2</v>
      </c>
      <c r="F7" s="41" t="n">
        <f aca="false">IF(OR(A7="",B7=""),0,COUNTIFS(B$6:B$36,"&gt;="&amp;B7,C$6:C$36,1))</f>
        <v>21</v>
      </c>
      <c r="G7" s="41" t="n">
        <f aca="false">IF(OR(A7="",B7=""),0,IF(B7=B6,0,1))</f>
        <v>0</v>
      </c>
      <c r="H7" s="41" t="n">
        <f aca="false">IF(A7="","",INT((A7-$E$3)/7)+1)</f>
        <v>1</v>
      </c>
      <c r="J7" s="13" t="n">
        <f aca="false">IF($A7="",0,IF('Meta Diária'!G7&lt;&gt;"",'Meta Diária'!G7,IF(AND($C7=1,$A7&gt;='Base de Dados'!$B$6),O7,0)))</f>
        <v>0</v>
      </c>
      <c r="K7" s="13" t="n">
        <f aca="false">K6+J6</f>
        <v>0</v>
      </c>
      <c r="L7" s="13" t="n">
        <f aca="false">IF($A7="","",IF($G7=1,IF($B$2=0,0,$J$3*$E7/$B$2),L6))</f>
        <v>2857.14285714286</v>
      </c>
      <c r="M7" s="13" t="n">
        <f aca="false">IF($A7="","",IF($G7=1,IF('Base de Dados'!$B$7="Sim",IF($F7=0,0,MAX($J$3-K7,0)*$E7/$F7),MAX(L7,IF($F7=0,0,MAX($J$3-K7,0)*$E7/$F7))),M6))</f>
        <v>2857.14285714286</v>
      </c>
      <c r="N7" s="13" t="n">
        <f aca="false">IF($C7=1,M7/$E7,"")</f>
        <v>1428.57142857143</v>
      </c>
      <c r="O7" s="13" t="n">
        <f aca="false">IF($C7&lt;&gt;1,"",IF('Base de Dados'!$B$7="Sim",MAX(M7-SUMIFS(J$5:J6,$B$5:$B6,$B7),0)/($E7-$D7+1),MAX(N7,MAX(M7-SUMIFS(J$5:J6,$B$5:$B6,$B7),0)/($E7-$D7+1))))</f>
        <v>2857.14285714286</v>
      </c>
      <c r="P7" s="12" t="n">
        <f aca="false">IF($A7="",0,IF('Meta Diária'!I7&lt;&gt;"",'Meta Diária'!I7,IF(AND($C7=1,$A7&gt;='Base de Dados'!$B$6),AH7,0)))</f>
        <v>0</v>
      </c>
      <c r="Q7" s="12" t="n">
        <f aca="false">Q6+P6</f>
        <v>0</v>
      </c>
      <c r="R7" s="41" t="str">
        <f aca="false">IF($G7=1,IF(Q7&lt;S7-0.000000001,1,0),"")</f>
        <v/>
      </c>
      <c r="S7" s="12" t="str">
        <f aca="false">IF($G7=1,SUMIFS(AD$5:AD6,$G$5:$G6,1),"")</f>
        <v/>
      </c>
      <c r="T7" s="12" t="str">
        <f aca="false">IF($G7=1,IF(AND($E7&gt;=1,($F7-0)&gt;0),IF(R7=1,ROUNDUP(ROUND((MAX($P$3-Q7,0)-(0))/($F7-0),6),0),ROUND((MAX($P$3-Q7,0)-(0))/($F7-0),0)),0),"")</f>
        <v/>
      </c>
      <c r="U7" s="12" t="str">
        <f aca="false">IF($G7=1,IF(AND($E7&gt;=2,($F7-1)&gt;0),IF(R7=1,ROUNDUP(ROUND((MAX($P$3-Q7,0)-(T7))/($F7-1),6),0),ROUND((MAX($P$3-Q7,0)-(T7))/($F7-1),0)),0),"")</f>
        <v/>
      </c>
      <c r="V7" s="12" t="str">
        <f aca="false">IF($G7=1,IF(AND($E7&gt;=3,($F7-2)&gt;0),IF(R7=1,ROUNDUP(ROUND((MAX($P$3-Q7,0)-(T7+U7))/($F7-2),6),0),ROUND((MAX($P$3-Q7,0)-(T7+U7))/($F7-2),0)),0),"")</f>
        <v/>
      </c>
      <c r="W7" s="12" t="str">
        <f aca="false">IF($G7=1,IF(AND($E7&gt;=4,($F7-3)&gt;0),IF(R7=1,ROUNDUP(ROUND((MAX($P$3-Q7,0)-(T7+U7+V7))/($F7-3),6),0),ROUND((MAX($P$3-Q7,0)-(T7+U7+V7))/($F7-3),0)),0),"")</f>
        <v/>
      </c>
      <c r="X7" s="12" t="str">
        <f aca="false">IF($G7=1,IF(AND($E7&gt;=5,($F7-4)&gt;0),IF(R7=1,ROUNDUP(ROUND((MAX($P$3-Q7,0)-(T7+U7+V7+W7))/($F7-4),6),0),ROUND((MAX($P$3-Q7,0)-(T7+U7+V7+W7))/($F7-4),0)),0),"")</f>
        <v/>
      </c>
      <c r="Y7" s="12" t="str">
        <f aca="false">IF($G7=1,IF(AND($E7&gt;=1,($F7-0)&gt;0),ROUND((($P$3-S7)-(0))/($F7-0),0),0),"")</f>
        <v/>
      </c>
      <c r="Z7" s="12" t="str">
        <f aca="false">IF($G7=1,IF(AND($E7&gt;=2,($F7-1)&gt;0),ROUND((($P$3-S7)-(Y7))/($F7-1),0),0),"")</f>
        <v/>
      </c>
      <c r="AA7" s="12" t="str">
        <f aca="false">IF($G7=1,IF(AND($E7&gt;=3,($F7-2)&gt;0),ROUND((($P$3-S7)-(Y7+Z7))/($F7-2),0),0),"")</f>
        <v/>
      </c>
      <c r="AB7" s="12" t="str">
        <f aca="false">IF($G7=1,IF(AND($E7&gt;=4,($F7-3)&gt;0),ROUND((($P$3-S7)-(Y7+Z7+AA7))/($F7-3),0),0),"")</f>
        <v/>
      </c>
      <c r="AC7" s="12" t="str">
        <f aca="false">IF($G7=1,IF(AND($E7&gt;=5,($F7-4)&gt;0),ROUND((($P$3-S7)-(Y7+Z7+AA7+AB7))/($F7-4),0),0),"")</f>
        <v/>
      </c>
      <c r="AD7" s="12" t="n">
        <f aca="false">IF($A7="","",IF($G7=1,(Y7+Z7+AA7+AB7+AC7),AD6))</f>
        <v>82</v>
      </c>
      <c r="AE7" s="12" t="n">
        <f aca="false">IF($A7="","",IF($G7=1,IF('Base de Dados'!$B$7="Sim",(T7+U7+V7+W7+X7),MAX(AD7,(T7+U7+V7+W7+X7))),AE6))</f>
        <v>82</v>
      </c>
      <c r="AF7" s="12" t="n">
        <f aca="false">IF($A7="","",IF($G7=1,AD7,AF6-N(AG6)))</f>
        <v>41</v>
      </c>
      <c r="AG7" s="12" t="n">
        <f aca="false">IF($C7=1,ROUND(AF7/($E7-$D7+1),0),"")</f>
        <v>41</v>
      </c>
      <c r="AH7" s="12" t="n">
        <f aca="false">IF($C7&lt;&gt;1,"",IF('Base de Dados'!$B$7="Sim",IF(SUMIFS(P$5:P6,$B$5:$B6,$B7)&lt;SUMIFS(AG$5:AG6,$B$5:$B6,$B7)-0.000000001,ROUNDUP(ROUND(MAX(AE7-SUMIFS(P$5:P6,$B$5:$B6,$B7),0)/($E7-$D7+1),6),0),ROUND(MAX(AE7-SUMIFS(P$5:P6,$B$5:$B6,$B7),0)/($E7-$D7+1),0)),MAX(AG7,IF(SUMIFS(P$5:P6,$B$5:$B6,$B7)&lt;SUMIFS(AG$5:AG6,$B$5:$B6,$B7)-0.000000001,ROUNDUP(ROUND(MAX(AE7-SUMIFS(P$5:P6,$B$5:$B6,$B7),0)/($E7-$D7+1),6),0),ROUND(MAX(AE7-SUMIFS(P$5:P6,$B$5:$B6,$B7),0)/($E7-$D7+1),0)))))</f>
        <v>82</v>
      </c>
      <c r="AI7" s="12" t="n">
        <f aca="false">IF($A7="",0,IF('Meta Diária'!K7&lt;&gt;"",'Meta Diária'!K7,IF(AND($C7=1,$A7&gt;='Base de Dados'!$B$6),BA7,0)))</f>
        <v>0</v>
      </c>
      <c r="AJ7" s="12" t="n">
        <f aca="false">AJ6+AI6</f>
        <v>0</v>
      </c>
      <c r="AK7" s="41" t="str">
        <f aca="false">IF($G7=1,IF(AJ7&lt;AL7-0.000000001,1,0),"")</f>
        <v/>
      </c>
      <c r="AL7" s="12" t="str">
        <f aca="false">IF($G7=1,SUMIFS(AW$5:AW6,$G$5:$G6,1),"")</f>
        <v/>
      </c>
      <c r="AM7" s="12" t="str">
        <f aca="false">IF($G7=1,IF(AND($E7&gt;=1,($F7-0)&gt;0),IF(AK7=1,ROUNDUP(ROUND((MAX($AI$3-AJ7,0)-(0))/($F7-0),6),0),ROUND((MAX($AI$3-AJ7,0)-(0))/($F7-0),0)),0),"")</f>
        <v/>
      </c>
      <c r="AN7" s="12" t="str">
        <f aca="false">IF($G7=1,IF(AND($E7&gt;=2,($F7-1)&gt;0),IF(AK7=1,ROUNDUP(ROUND((MAX($AI$3-AJ7,0)-(AM7))/($F7-1),6),0),ROUND((MAX($AI$3-AJ7,0)-(AM7))/($F7-1),0)),0),"")</f>
        <v/>
      </c>
      <c r="AO7" s="12" t="str">
        <f aca="false">IF($G7=1,IF(AND($E7&gt;=3,($F7-2)&gt;0),IF(AK7=1,ROUNDUP(ROUND((MAX($AI$3-AJ7,0)-(AM7+AN7))/($F7-2),6),0),ROUND((MAX($AI$3-AJ7,0)-(AM7+AN7))/($F7-2),0)),0),"")</f>
        <v/>
      </c>
      <c r="AP7" s="12" t="str">
        <f aca="false">IF($G7=1,IF(AND($E7&gt;=4,($F7-3)&gt;0),IF(AK7=1,ROUNDUP(ROUND((MAX($AI$3-AJ7,0)-(AM7+AN7+AO7))/($F7-3),6),0),ROUND((MAX($AI$3-AJ7,0)-(AM7+AN7+AO7))/($F7-3),0)),0),"")</f>
        <v/>
      </c>
      <c r="AQ7" s="12" t="str">
        <f aca="false">IF($G7=1,IF(AND($E7&gt;=5,($F7-4)&gt;0),IF(AK7=1,ROUNDUP(ROUND((MAX($AI$3-AJ7,0)-(AM7+AN7+AO7+AP7))/($F7-4),6),0),ROUND((MAX($AI$3-AJ7,0)-(AM7+AN7+AO7+AP7))/($F7-4),0)),0),"")</f>
        <v/>
      </c>
      <c r="AR7" s="12" t="str">
        <f aca="false">IF($G7=1,IF(AND($E7&gt;=1,($F7-0)&gt;0),ROUND((($AI$3-AL7)-(0))/($F7-0),0),0),"")</f>
        <v/>
      </c>
      <c r="AS7" s="12" t="str">
        <f aca="false">IF($G7=1,IF(AND($E7&gt;=2,($F7-1)&gt;0),ROUND((($AI$3-AL7)-(AR7))/($F7-1),0),0),"")</f>
        <v/>
      </c>
      <c r="AT7" s="12" t="str">
        <f aca="false">IF($G7=1,IF(AND($E7&gt;=3,($F7-2)&gt;0),ROUND((($AI$3-AL7)-(AR7+AS7))/($F7-2),0),0),"")</f>
        <v/>
      </c>
      <c r="AU7" s="12" t="str">
        <f aca="false">IF($G7=1,IF(AND($E7&gt;=4,($F7-3)&gt;0),ROUND((($AI$3-AL7)-(AR7+AS7+AT7))/($F7-3),0),0),"")</f>
        <v/>
      </c>
      <c r="AV7" s="12" t="str">
        <f aca="false">IF($G7=1,IF(AND($E7&gt;=5,($F7-4)&gt;0),ROUND((($AI$3-AL7)-(AR7+AS7+AT7+AU7))/($F7-4),0),0),"")</f>
        <v/>
      </c>
      <c r="AW7" s="12" t="n">
        <f aca="false">IF($A7="","",IF($G7=1,(AR7+AS7+AT7+AU7+AV7),AW6))</f>
        <v>16</v>
      </c>
      <c r="AX7" s="12" t="n">
        <f aca="false">IF($A7="","",IF($G7=1,IF('Base de Dados'!$B$7="Sim",(AM7+AN7+AO7+AP7+AQ7),MAX(AW7,(AM7+AN7+AO7+AP7+AQ7))),AX6))</f>
        <v>16</v>
      </c>
      <c r="AY7" s="12" t="n">
        <f aca="false">IF($A7="","",IF($G7=1,AW7,AY6-N(AZ6)))</f>
        <v>8</v>
      </c>
      <c r="AZ7" s="12" t="n">
        <f aca="false">IF($C7=1,ROUND(AY7/($E7-$D7+1),0),"")</f>
        <v>8</v>
      </c>
      <c r="BA7" s="12" t="n">
        <f aca="false">IF($C7&lt;&gt;1,"",IF('Base de Dados'!$B$7="Sim",IF(SUMIFS(AI$5:AI6,$B$5:$B6,$B7)&lt;SUMIFS(AZ$5:AZ6,$B$5:$B6,$B7)-0.000000001,ROUNDUP(ROUND(MAX(AX7-SUMIFS(AI$5:AI6,$B$5:$B6,$B7),0)/($E7-$D7+1),6),0),ROUND(MAX(AX7-SUMIFS(AI$5:AI6,$B$5:$B6,$B7),0)/($E7-$D7+1),0)),MAX(AZ7,IF(SUMIFS(AI$5:AI6,$B$5:$B6,$B7)&lt;SUMIFS(AZ$5:AZ6,$B$5:$B6,$B7)-0.000000001,ROUNDUP(ROUND(MAX(AX7-SUMIFS(AI$5:AI6,$B$5:$B6,$B7),0)/($E7-$D7+1),6),0),ROUND(MAX(AX7-SUMIFS(AI$5:AI6,$B$5:$B6,$B7),0)/($E7-$D7+1),0)))))</f>
        <v>16</v>
      </c>
      <c r="BB7" s="12" t="n">
        <f aca="false">IF($A7="",0,IF('Meta Diária'!M7&lt;&gt;"",'Meta Diária'!M7,IF(AND($C7=1,$A7&gt;='Base de Dados'!$B$6),BT7,0)))</f>
        <v>0</v>
      </c>
      <c r="BC7" s="12" t="n">
        <f aca="false">BC6+BB6</f>
        <v>0</v>
      </c>
      <c r="BD7" s="41" t="str">
        <f aca="false">IF($G7=1,IF(BC7&lt;BE7-0.000000001,1,0),"")</f>
        <v/>
      </c>
      <c r="BE7" s="12" t="str">
        <f aca="false">IF($G7=1,SUMIFS(BP$5:BP6,$G$5:$G6,1),"")</f>
        <v/>
      </c>
      <c r="BF7" s="12" t="str">
        <f aca="false">IF($G7=1,IF(AND($E7&gt;=1,($F7-0)&gt;0),IF(BD7=1,ROUNDUP(ROUND((MAX($BB$3-BC7,0)-(0))/($F7-0),6),0),ROUND((MAX($BB$3-BC7,0)-(0))/($F7-0),0)),0),"")</f>
        <v/>
      </c>
      <c r="BG7" s="12" t="str">
        <f aca="false">IF($G7=1,IF(AND($E7&gt;=2,($F7-1)&gt;0),IF(BD7=1,ROUNDUP(ROUND((MAX($BB$3-BC7,0)-(BF7))/($F7-1),6),0),ROUND((MAX($BB$3-BC7,0)-(BF7))/($F7-1),0)),0),"")</f>
        <v/>
      </c>
      <c r="BH7" s="12" t="str">
        <f aca="false">IF($G7=1,IF(AND($E7&gt;=3,($F7-2)&gt;0),IF(BD7=1,ROUNDUP(ROUND((MAX($BB$3-BC7,0)-(BF7+BG7))/($F7-2),6),0),ROUND((MAX($BB$3-BC7,0)-(BF7+BG7))/($F7-2),0)),0),"")</f>
        <v/>
      </c>
      <c r="BI7" s="12" t="str">
        <f aca="false">IF($G7=1,IF(AND($E7&gt;=4,($F7-3)&gt;0),IF(BD7=1,ROUNDUP(ROUND((MAX($BB$3-BC7,0)-(BF7+BG7+BH7))/($F7-3),6),0),ROUND((MAX($BB$3-BC7,0)-(BF7+BG7+BH7))/($F7-3),0)),0),"")</f>
        <v/>
      </c>
      <c r="BJ7" s="12" t="str">
        <f aca="false">IF($G7=1,IF(AND($E7&gt;=5,($F7-4)&gt;0),IF(BD7=1,ROUNDUP(ROUND((MAX($BB$3-BC7,0)-(BF7+BG7+BH7+BI7))/($F7-4),6),0),ROUND((MAX($BB$3-BC7,0)-(BF7+BG7+BH7+BI7))/($F7-4),0)),0),"")</f>
        <v/>
      </c>
      <c r="BK7" s="12" t="str">
        <f aca="false">IF($G7=1,IF(AND($E7&gt;=1,($F7-0)&gt;0),ROUND((($BB$3-BE7)-(0))/($F7-0),0),0),"")</f>
        <v/>
      </c>
      <c r="BL7" s="12" t="str">
        <f aca="false">IF($G7=1,IF(AND($E7&gt;=2,($F7-1)&gt;0),ROUND((($BB$3-BE7)-(BK7))/($F7-1),0),0),"")</f>
        <v/>
      </c>
      <c r="BM7" s="12" t="str">
        <f aca="false">IF($G7=1,IF(AND($E7&gt;=3,($F7-2)&gt;0),ROUND((($BB$3-BE7)-(BK7+BL7))/($F7-2),0),0),"")</f>
        <v/>
      </c>
      <c r="BN7" s="12" t="str">
        <f aca="false">IF($G7=1,IF(AND($E7&gt;=4,($F7-3)&gt;0),ROUND((($BB$3-BE7)-(BK7+BL7+BM7))/($F7-3),0),0),"")</f>
        <v/>
      </c>
      <c r="BO7" s="12" t="str">
        <f aca="false">IF($G7=1,IF(AND($E7&gt;=5,($F7-4)&gt;0),ROUND((($BB$3-BE7)-(BK7+BL7+BM7+BN7))/($F7-4),0),0),"")</f>
        <v/>
      </c>
      <c r="BP7" s="12" t="n">
        <f aca="false">IF($A7="","",IF($G7=1,(BK7+BL7+BM7+BN7+BO7),BP6))</f>
        <v>10</v>
      </c>
      <c r="BQ7" s="12" t="n">
        <f aca="false">IF($A7="","",IF($G7=1,IF('Base de Dados'!$B$7="Sim",(BF7+BG7+BH7+BI7+BJ7),MAX(BP7,(BF7+BG7+BH7+BI7+BJ7))),BQ6))</f>
        <v>10</v>
      </c>
      <c r="BR7" s="12" t="n">
        <f aca="false">IF($A7="","",IF($G7=1,BP7,BR6-N(BS6)))</f>
        <v>5</v>
      </c>
      <c r="BS7" s="12" t="n">
        <f aca="false">IF($C7=1,ROUND(BR7/($E7-$D7+1),0),"")</f>
        <v>5</v>
      </c>
      <c r="BT7" s="12" t="n">
        <f aca="false">IF($C7&lt;&gt;1,"",IF('Base de Dados'!$B$7="Sim",IF(SUMIFS(BB$5:BB6,$B$5:$B6,$B7)&lt;SUMIFS(BS$5:BS6,$B$5:$B6,$B7)-0.000000001,ROUNDUP(ROUND(MAX(BQ7-SUMIFS(BB$5:BB6,$B$5:$B6,$B7),0)/($E7-$D7+1),6),0),ROUND(MAX(BQ7-SUMIFS(BB$5:BB6,$B$5:$B6,$B7),0)/($E7-$D7+1),0)),MAX(BS7,IF(SUMIFS(BB$5:BB6,$B$5:$B6,$B7)&lt;SUMIFS(BS$5:BS6,$B$5:$B6,$B7)-0.000000001,ROUNDUP(ROUND(MAX(BQ7-SUMIFS(BB$5:BB6,$B$5:$B6,$B7),0)/($E7-$D7+1),6),0),ROUND(MAX(BQ7-SUMIFS(BB$5:BB6,$B$5:$B6,$B7),0)/($E7-$D7+1),0)))))</f>
        <v>10</v>
      </c>
      <c r="BU7" s="12" t="n">
        <f aca="false">IF($A7="",0,IF('Meta Diária'!O7&lt;&gt;"",'Meta Diária'!O7,IF(AND($C7=1,$A7&gt;='Base de Dados'!$B$6),CM7,0)))</f>
        <v>0</v>
      </c>
      <c r="BV7" s="12" t="n">
        <f aca="false">BV6+BU6</f>
        <v>0</v>
      </c>
      <c r="BW7" s="41" t="str">
        <f aca="false">IF($G7=1,IF(BV7&lt;BX7-0.000000001,1,0),"")</f>
        <v/>
      </c>
      <c r="BX7" s="12" t="str">
        <f aca="false">IF($G7=1,SUMIFS(CI$5:CI6,$G$5:$G6,1),"")</f>
        <v/>
      </c>
      <c r="BY7" s="12" t="str">
        <f aca="false">IF($G7=1,IF(AND($E7&gt;=1,($F7-0)&gt;0),IF(BW7=1,ROUNDUP(ROUND((MAX($BU$3-BV7,0)-(0))/($F7-0),6),0),ROUND((MAX($BU$3-BV7,0)-(0))/($F7-0),0)),0),"")</f>
        <v/>
      </c>
      <c r="BZ7" s="12" t="str">
        <f aca="false">IF($G7=1,IF(AND($E7&gt;=2,($F7-1)&gt;0),IF(BW7=1,ROUNDUP(ROUND((MAX($BU$3-BV7,0)-(BY7))/($F7-1),6),0),ROUND((MAX($BU$3-BV7,0)-(BY7))/($F7-1),0)),0),"")</f>
        <v/>
      </c>
      <c r="CA7" s="12" t="str">
        <f aca="false">IF($G7=1,IF(AND($E7&gt;=3,($F7-2)&gt;0),IF(BW7=1,ROUNDUP(ROUND((MAX($BU$3-BV7,0)-(BY7+BZ7))/($F7-2),6),0),ROUND((MAX($BU$3-BV7,0)-(BY7+BZ7))/($F7-2),0)),0),"")</f>
        <v/>
      </c>
      <c r="CB7" s="12" t="str">
        <f aca="false">IF($G7=1,IF(AND($E7&gt;=4,($F7-3)&gt;0),IF(BW7=1,ROUNDUP(ROUND((MAX($BU$3-BV7,0)-(BY7+BZ7+CA7))/($F7-3),6),0),ROUND((MAX($BU$3-BV7,0)-(BY7+BZ7+CA7))/($F7-3),0)),0),"")</f>
        <v/>
      </c>
      <c r="CC7" s="12" t="str">
        <f aca="false">IF($G7=1,IF(AND($E7&gt;=5,($F7-4)&gt;0),IF(BW7=1,ROUNDUP(ROUND((MAX($BU$3-BV7,0)-(BY7+BZ7+CA7+CB7))/($F7-4),6),0),ROUND((MAX($BU$3-BV7,0)-(BY7+BZ7+CA7+CB7))/($F7-4),0)),0),"")</f>
        <v/>
      </c>
      <c r="CD7" s="12" t="str">
        <f aca="false">IF($G7=1,IF(AND($E7&gt;=1,($F7-0)&gt;0),ROUND((($BU$3-BX7)-(0))/($F7-0),0),0),"")</f>
        <v/>
      </c>
      <c r="CE7" s="12" t="str">
        <f aca="false">IF($G7=1,IF(AND($E7&gt;=2,($F7-1)&gt;0),ROUND((($BU$3-BX7)-(CD7))/($F7-1),0),0),"")</f>
        <v/>
      </c>
      <c r="CF7" s="12" t="str">
        <f aca="false">IF($G7=1,IF(AND($E7&gt;=3,($F7-2)&gt;0),ROUND((($BU$3-BX7)-(CD7+CE7))/($F7-2),0),0),"")</f>
        <v/>
      </c>
      <c r="CG7" s="12" t="str">
        <f aca="false">IF($G7=1,IF(AND($E7&gt;=4,($F7-3)&gt;0),ROUND((($BU$3-BX7)-(CD7+CE7+CF7))/($F7-3),0),0),"")</f>
        <v/>
      </c>
      <c r="CH7" s="12" t="str">
        <f aca="false">IF($G7=1,IF(AND($E7&gt;=5,($F7-4)&gt;0),ROUND((($BU$3-BX7)-(CD7+CE7+CF7+CG7))/($F7-4),0),0),"")</f>
        <v/>
      </c>
      <c r="CI7" s="12" t="n">
        <f aca="false">IF($A7="","",IF($G7=1,(CD7+CE7+CF7+CG7+CH7),CI6))</f>
        <v>4</v>
      </c>
      <c r="CJ7" s="12" t="n">
        <f aca="false">IF($A7="","",IF($G7=1,IF('Base de Dados'!$B$7="Sim",(BY7+BZ7+CA7+CB7+CC7),MAX(CI7,(BY7+BZ7+CA7+CB7+CC7))),CJ6))</f>
        <v>4</v>
      </c>
      <c r="CK7" s="12" t="n">
        <f aca="false">IF($A7="","",IF($G7=1,CI7,CK6-N(CL6)))</f>
        <v>2</v>
      </c>
      <c r="CL7" s="12" t="n">
        <f aca="false">IF($C7=1,ROUND(CK7/($E7-$D7+1),0),"")</f>
        <v>2</v>
      </c>
      <c r="CM7" s="12" t="n">
        <f aca="false">IF($C7&lt;&gt;1,"",IF('Base de Dados'!$B$7="Sim",IF(SUMIFS(BU$5:BU6,$B$5:$B6,$B7)&lt;SUMIFS(CL$5:CL6,$B$5:$B6,$B7)-0.000000001,ROUNDUP(ROUND(MAX(CJ7-SUMIFS(BU$5:BU6,$B$5:$B6,$B7),0)/($E7-$D7+1),6),0),ROUND(MAX(CJ7-SUMIFS(BU$5:BU6,$B$5:$B6,$B7),0)/($E7-$D7+1),0)),MAX(CL7,IF(SUMIFS(BU$5:BU6,$B$5:$B6,$B7)&lt;SUMIFS(CL$5:CL6,$B$5:$B6,$B7)-0.000000001,ROUNDUP(ROUND(MAX(CJ7-SUMIFS(BU$5:BU6,$B$5:$B6,$B7),0)/($E7-$D7+1),6),0),ROUND(MAX(CJ7-SUMIFS(BU$5:BU6,$B$5:$B6,$B7),0)/($E7-$D7+1),0)))))</f>
        <v>4</v>
      </c>
    </row>
    <row r="8" customFormat="false" ht="15" hidden="false" customHeight="false" outlineLevel="0" collapsed="false">
      <c r="A8" s="7" t="n">
        <f aca="false">IF($E$2+2&lt;=EOMONTH($E$2,0),$E$2+2,"")</f>
        <v>46298</v>
      </c>
      <c r="B8" s="41" t="n">
        <f aca="false">IF(A8="","",IF(COUNTIFS(H$6:H$36,H8,C$6:C$36,1)=0,"",IF(H8=H7,B7,1+MAX(B$5:B7))))</f>
        <v>1</v>
      </c>
      <c r="C8" s="41" t="n">
        <f aca="false">IF(A8="",0,IF(AND(WEEKDAY(A8,2)&lt;=5,COUNTIF(Folgas!$A$5:$A$300,A8)=0),1,0))</f>
        <v>0</v>
      </c>
      <c r="D8" s="41" t="n">
        <f aca="false">IF(C8=1,COUNTIFS(B$6:B8,B8,C$6:C8,1),0)</f>
        <v>0</v>
      </c>
      <c r="E8" s="41" t="n">
        <f aca="false">IF(OR(A8="",B8=""),0,COUNTIFS(B$6:B$36,B8,C$6:C$36,1))</f>
        <v>2</v>
      </c>
      <c r="F8" s="41" t="n">
        <f aca="false">IF(OR(A8="",B8=""),0,COUNTIFS(B$6:B$36,"&gt;="&amp;B8,C$6:C$36,1))</f>
        <v>21</v>
      </c>
      <c r="G8" s="41" t="n">
        <f aca="false">IF(OR(A8="",B8=""),0,IF(B8=B7,0,1))</f>
        <v>0</v>
      </c>
      <c r="H8" s="41" t="n">
        <f aca="false">IF(A8="","",INT((A8-$E$3)/7)+1)</f>
        <v>1</v>
      </c>
      <c r="J8" s="13" t="n">
        <f aca="false">IF($A8="",0,IF('Meta Diária'!G8&lt;&gt;"",'Meta Diária'!G8,IF(AND($C8=1,$A8&gt;='Base de Dados'!$B$6),O8,0)))</f>
        <v>0</v>
      </c>
      <c r="K8" s="13" t="n">
        <f aca="false">K7+J7</f>
        <v>0</v>
      </c>
      <c r="L8" s="13" t="n">
        <f aca="false">IF($A8="","",IF($G8=1,IF($B$2=0,0,$J$3*$E8/$B$2),L7))</f>
        <v>2857.14285714286</v>
      </c>
      <c r="M8" s="13" t="n">
        <f aca="false">IF($A8="","",IF($G8=1,IF('Base de Dados'!$B$7="Sim",IF($F8=0,0,MAX($J$3-K8,0)*$E8/$F8),MAX(L8,IF($F8=0,0,MAX($J$3-K8,0)*$E8/$F8))),M7))</f>
        <v>2857.14285714286</v>
      </c>
      <c r="N8" s="13" t="str">
        <f aca="false">IF($C8=1,M8/$E8,"")</f>
        <v/>
      </c>
      <c r="O8" s="13" t="str">
        <f aca="false">IF($C8&lt;&gt;1,"",IF('Base de Dados'!$B$7="Sim",MAX(M8-SUMIFS(J$5:J7,$B$5:$B7,$B8),0)/($E8-$D8+1),MAX(N8,MAX(M8-SUMIFS(J$5:J7,$B$5:$B7,$B8),0)/($E8-$D8+1))))</f>
        <v/>
      </c>
      <c r="P8" s="12" t="n">
        <f aca="false">IF($A8="",0,IF('Meta Diária'!I8&lt;&gt;"",'Meta Diária'!I8,IF(AND($C8=1,$A8&gt;='Base de Dados'!$B$6),AH8,0)))</f>
        <v>0</v>
      </c>
      <c r="Q8" s="12" t="n">
        <f aca="false">Q7+P7</f>
        <v>0</v>
      </c>
      <c r="R8" s="41" t="str">
        <f aca="false">IF($G8=1,IF(Q8&lt;S8-0.000000001,1,0),"")</f>
        <v/>
      </c>
      <c r="S8" s="12" t="str">
        <f aca="false">IF($G8=1,SUMIFS(AD$5:AD7,$G$5:$G7,1),"")</f>
        <v/>
      </c>
      <c r="T8" s="12" t="str">
        <f aca="false">IF($G8=1,IF(AND($E8&gt;=1,($F8-0)&gt;0),IF(R8=1,ROUNDUP(ROUND((MAX($P$3-Q8,0)-(0))/($F8-0),6),0),ROUND((MAX($P$3-Q8,0)-(0))/($F8-0),0)),0),"")</f>
        <v/>
      </c>
      <c r="U8" s="12" t="str">
        <f aca="false">IF($G8=1,IF(AND($E8&gt;=2,($F8-1)&gt;0),IF(R8=1,ROUNDUP(ROUND((MAX($P$3-Q8,0)-(T8))/($F8-1),6),0),ROUND((MAX($P$3-Q8,0)-(T8))/($F8-1),0)),0),"")</f>
        <v/>
      </c>
      <c r="V8" s="12" t="str">
        <f aca="false">IF($G8=1,IF(AND($E8&gt;=3,($F8-2)&gt;0),IF(R8=1,ROUNDUP(ROUND((MAX($P$3-Q8,0)-(T8+U8))/($F8-2),6),0),ROUND((MAX($P$3-Q8,0)-(T8+U8))/($F8-2),0)),0),"")</f>
        <v/>
      </c>
      <c r="W8" s="12" t="str">
        <f aca="false">IF($G8=1,IF(AND($E8&gt;=4,($F8-3)&gt;0),IF(R8=1,ROUNDUP(ROUND((MAX($P$3-Q8,0)-(T8+U8+V8))/($F8-3),6),0),ROUND((MAX($P$3-Q8,0)-(T8+U8+V8))/($F8-3),0)),0),"")</f>
        <v/>
      </c>
      <c r="X8" s="12" t="str">
        <f aca="false">IF($G8=1,IF(AND($E8&gt;=5,($F8-4)&gt;0),IF(R8=1,ROUNDUP(ROUND((MAX($P$3-Q8,0)-(T8+U8+V8+W8))/($F8-4),6),0),ROUND((MAX($P$3-Q8,0)-(T8+U8+V8+W8))/($F8-4),0)),0),"")</f>
        <v/>
      </c>
      <c r="Y8" s="12" t="str">
        <f aca="false">IF($G8=1,IF(AND($E8&gt;=1,($F8-0)&gt;0),ROUND((($P$3-S8)-(0))/($F8-0),0),0),"")</f>
        <v/>
      </c>
      <c r="Z8" s="12" t="str">
        <f aca="false">IF($G8=1,IF(AND($E8&gt;=2,($F8-1)&gt;0),ROUND((($P$3-S8)-(Y8))/($F8-1),0),0),"")</f>
        <v/>
      </c>
      <c r="AA8" s="12" t="str">
        <f aca="false">IF($G8=1,IF(AND($E8&gt;=3,($F8-2)&gt;0),ROUND((($P$3-S8)-(Y8+Z8))/($F8-2),0),0),"")</f>
        <v/>
      </c>
      <c r="AB8" s="12" t="str">
        <f aca="false">IF($G8=1,IF(AND($E8&gt;=4,($F8-3)&gt;0),ROUND((($P$3-S8)-(Y8+Z8+AA8))/($F8-3),0),0),"")</f>
        <v/>
      </c>
      <c r="AC8" s="12" t="str">
        <f aca="false">IF($G8=1,IF(AND($E8&gt;=5,($F8-4)&gt;0),ROUND((($P$3-S8)-(Y8+Z8+AA8+AB8))/($F8-4),0),0),"")</f>
        <v/>
      </c>
      <c r="AD8" s="12" t="n">
        <f aca="false">IF($A8="","",IF($G8=1,(Y8+Z8+AA8+AB8+AC8),AD7))</f>
        <v>82</v>
      </c>
      <c r="AE8" s="12" t="n">
        <f aca="false">IF($A8="","",IF($G8=1,IF('Base de Dados'!$B$7="Sim",(T8+U8+V8+W8+X8),MAX(AD8,(T8+U8+V8+W8+X8))),AE7))</f>
        <v>82</v>
      </c>
      <c r="AF8" s="12" t="n">
        <f aca="false">IF($A8="","",IF($G8=1,AD8,AF7-N(AG7)))</f>
        <v>0</v>
      </c>
      <c r="AG8" s="12" t="str">
        <f aca="false">IF($C8=1,ROUND(AF8/($E8-$D8+1),0),"")</f>
        <v/>
      </c>
      <c r="AH8" s="12" t="str">
        <f aca="false">IF($C8&lt;&gt;1,"",IF('Base de Dados'!$B$7="Sim",IF(SUMIFS(P$5:P7,$B$5:$B7,$B8)&lt;SUMIFS(AG$5:AG7,$B$5:$B7,$B8)-0.000000001,ROUNDUP(ROUND(MAX(AE8-SUMIFS(P$5:P7,$B$5:$B7,$B8),0)/($E8-$D8+1),6),0),ROUND(MAX(AE8-SUMIFS(P$5:P7,$B$5:$B7,$B8),0)/($E8-$D8+1),0)),MAX(AG8,IF(SUMIFS(P$5:P7,$B$5:$B7,$B8)&lt;SUMIFS(AG$5:AG7,$B$5:$B7,$B8)-0.000000001,ROUNDUP(ROUND(MAX(AE8-SUMIFS(P$5:P7,$B$5:$B7,$B8),0)/($E8-$D8+1),6),0),ROUND(MAX(AE8-SUMIFS(P$5:P7,$B$5:$B7,$B8),0)/($E8-$D8+1),0)))))</f>
        <v/>
      </c>
      <c r="AI8" s="12" t="n">
        <f aca="false">IF($A8="",0,IF('Meta Diária'!K8&lt;&gt;"",'Meta Diária'!K8,IF(AND($C8=1,$A8&gt;='Base de Dados'!$B$6),BA8,0)))</f>
        <v>0</v>
      </c>
      <c r="AJ8" s="12" t="n">
        <f aca="false">AJ7+AI7</f>
        <v>0</v>
      </c>
      <c r="AK8" s="41" t="str">
        <f aca="false">IF($G8=1,IF(AJ8&lt;AL8-0.000000001,1,0),"")</f>
        <v/>
      </c>
      <c r="AL8" s="12" t="str">
        <f aca="false">IF($G8=1,SUMIFS(AW$5:AW7,$G$5:$G7,1),"")</f>
        <v/>
      </c>
      <c r="AM8" s="12" t="str">
        <f aca="false">IF($G8=1,IF(AND($E8&gt;=1,($F8-0)&gt;0),IF(AK8=1,ROUNDUP(ROUND((MAX($AI$3-AJ8,0)-(0))/($F8-0),6),0),ROUND((MAX($AI$3-AJ8,0)-(0))/($F8-0),0)),0),"")</f>
        <v/>
      </c>
      <c r="AN8" s="12" t="str">
        <f aca="false">IF($G8=1,IF(AND($E8&gt;=2,($F8-1)&gt;0),IF(AK8=1,ROUNDUP(ROUND((MAX($AI$3-AJ8,0)-(AM8))/($F8-1),6),0),ROUND((MAX($AI$3-AJ8,0)-(AM8))/($F8-1),0)),0),"")</f>
        <v/>
      </c>
      <c r="AO8" s="12" t="str">
        <f aca="false">IF($G8=1,IF(AND($E8&gt;=3,($F8-2)&gt;0),IF(AK8=1,ROUNDUP(ROUND((MAX($AI$3-AJ8,0)-(AM8+AN8))/($F8-2),6),0),ROUND((MAX($AI$3-AJ8,0)-(AM8+AN8))/($F8-2),0)),0),"")</f>
        <v/>
      </c>
      <c r="AP8" s="12" t="str">
        <f aca="false">IF($G8=1,IF(AND($E8&gt;=4,($F8-3)&gt;0),IF(AK8=1,ROUNDUP(ROUND((MAX($AI$3-AJ8,0)-(AM8+AN8+AO8))/($F8-3),6),0),ROUND((MAX($AI$3-AJ8,0)-(AM8+AN8+AO8))/($F8-3),0)),0),"")</f>
        <v/>
      </c>
      <c r="AQ8" s="12" t="str">
        <f aca="false">IF($G8=1,IF(AND($E8&gt;=5,($F8-4)&gt;0),IF(AK8=1,ROUNDUP(ROUND((MAX($AI$3-AJ8,0)-(AM8+AN8+AO8+AP8))/($F8-4),6),0),ROUND((MAX($AI$3-AJ8,0)-(AM8+AN8+AO8+AP8))/($F8-4),0)),0),"")</f>
        <v/>
      </c>
      <c r="AR8" s="12" t="str">
        <f aca="false">IF($G8=1,IF(AND($E8&gt;=1,($F8-0)&gt;0),ROUND((($AI$3-AL8)-(0))/($F8-0),0),0),"")</f>
        <v/>
      </c>
      <c r="AS8" s="12" t="str">
        <f aca="false">IF($G8=1,IF(AND($E8&gt;=2,($F8-1)&gt;0),ROUND((($AI$3-AL8)-(AR8))/($F8-1),0),0),"")</f>
        <v/>
      </c>
      <c r="AT8" s="12" t="str">
        <f aca="false">IF($G8=1,IF(AND($E8&gt;=3,($F8-2)&gt;0),ROUND((($AI$3-AL8)-(AR8+AS8))/($F8-2),0),0),"")</f>
        <v/>
      </c>
      <c r="AU8" s="12" t="str">
        <f aca="false">IF($G8=1,IF(AND($E8&gt;=4,($F8-3)&gt;0),ROUND((($AI$3-AL8)-(AR8+AS8+AT8))/($F8-3),0),0),"")</f>
        <v/>
      </c>
      <c r="AV8" s="12" t="str">
        <f aca="false">IF($G8=1,IF(AND($E8&gt;=5,($F8-4)&gt;0),ROUND((($AI$3-AL8)-(AR8+AS8+AT8+AU8))/($F8-4),0),0),"")</f>
        <v/>
      </c>
      <c r="AW8" s="12" t="n">
        <f aca="false">IF($A8="","",IF($G8=1,(AR8+AS8+AT8+AU8+AV8),AW7))</f>
        <v>16</v>
      </c>
      <c r="AX8" s="12" t="n">
        <f aca="false">IF($A8="","",IF($G8=1,IF('Base de Dados'!$B$7="Sim",(AM8+AN8+AO8+AP8+AQ8),MAX(AW8,(AM8+AN8+AO8+AP8+AQ8))),AX7))</f>
        <v>16</v>
      </c>
      <c r="AY8" s="12" t="n">
        <f aca="false">IF($A8="","",IF($G8=1,AW8,AY7-N(AZ7)))</f>
        <v>0</v>
      </c>
      <c r="AZ8" s="12" t="str">
        <f aca="false">IF($C8=1,ROUND(AY8/($E8-$D8+1),0),"")</f>
        <v/>
      </c>
      <c r="BA8" s="12" t="str">
        <f aca="false">IF($C8&lt;&gt;1,"",IF('Base de Dados'!$B$7="Sim",IF(SUMIFS(AI$5:AI7,$B$5:$B7,$B8)&lt;SUMIFS(AZ$5:AZ7,$B$5:$B7,$B8)-0.000000001,ROUNDUP(ROUND(MAX(AX8-SUMIFS(AI$5:AI7,$B$5:$B7,$B8),0)/($E8-$D8+1),6),0),ROUND(MAX(AX8-SUMIFS(AI$5:AI7,$B$5:$B7,$B8),0)/($E8-$D8+1),0)),MAX(AZ8,IF(SUMIFS(AI$5:AI7,$B$5:$B7,$B8)&lt;SUMIFS(AZ$5:AZ7,$B$5:$B7,$B8)-0.000000001,ROUNDUP(ROUND(MAX(AX8-SUMIFS(AI$5:AI7,$B$5:$B7,$B8),0)/($E8-$D8+1),6),0),ROUND(MAX(AX8-SUMIFS(AI$5:AI7,$B$5:$B7,$B8),0)/($E8-$D8+1),0)))))</f>
        <v/>
      </c>
      <c r="BB8" s="12" t="n">
        <f aca="false">IF($A8="",0,IF('Meta Diária'!M8&lt;&gt;"",'Meta Diária'!M8,IF(AND($C8=1,$A8&gt;='Base de Dados'!$B$6),BT8,0)))</f>
        <v>0</v>
      </c>
      <c r="BC8" s="12" t="n">
        <f aca="false">BC7+BB7</f>
        <v>0</v>
      </c>
      <c r="BD8" s="41" t="str">
        <f aca="false">IF($G8=1,IF(BC8&lt;BE8-0.000000001,1,0),"")</f>
        <v/>
      </c>
      <c r="BE8" s="12" t="str">
        <f aca="false">IF($G8=1,SUMIFS(BP$5:BP7,$G$5:$G7,1),"")</f>
        <v/>
      </c>
      <c r="BF8" s="12" t="str">
        <f aca="false">IF($G8=1,IF(AND($E8&gt;=1,($F8-0)&gt;0),IF(BD8=1,ROUNDUP(ROUND((MAX($BB$3-BC8,0)-(0))/($F8-0),6),0),ROUND((MAX($BB$3-BC8,0)-(0))/($F8-0),0)),0),"")</f>
        <v/>
      </c>
      <c r="BG8" s="12" t="str">
        <f aca="false">IF($G8=1,IF(AND($E8&gt;=2,($F8-1)&gt;0),IF(BD8=1,ROUNDUP(ROUND((MAX($BB$3-BC8,0)-(BF8))/($F8-1),6),0),ROUND((MAX($BB$3-BC8,0)-(BF8))/($F8-1),0)),0),"")</f>
        <v/>
      </c>
      <c r="BH8" s="12" t="str">
        <f aca="false">IF($G8=1,IF(AND($E8&gt;=3,($F8-2)&gt;0),IF(BD8=1,ROUNDUP(ROUND((MAX($BB$3-BC8,0)-(BF8+BG8))/($F8-2),6),0),ROUND((MAX($BB$3-BC8,0)-(BF8+BG8))/($F8-2),0)),0),"")</f>
        <v/>
      </c>
      <c r="BI8" s="12" t="str">
        <f aca="false">IF($G8=1,IF(AND($E8&gt;=4,($F8-3)&gt;0),IF(BD8=1,ROUNDUP(ROUND((MAX($BB$3-BC8,0)-(BF8+BG8+BH8))/($F8-3),6),0),ROUND((MAX($BB$3-BC8,0)-(BF8+BG8+BH8))/($F8-3),0)),0),"")</f>
        <v/>
      </c>
      <c r="BJ8" s="12" t="str">
        <f aca="false">IF($G8=1,IF(AND($E8&gt;=5,($F8-4)&gt;0),IF(BD8=1,ROUNDUP(ROUND((MAX($BB$3-BC8,0)-(BF8+BG8+BH8+BI8))/($F8-4),6),0),ROUND((MAX($BB$3-BC8,0)-(BF8+BG8+BH8+BI8))/($F8-4),0)),0),"")</f>
        <v/>
      </c>
      <c r="BK8" s="12" t="str">
        <f aca="false">IF($G8=1,IF(AND($E8&gt;=1,($F8-0)&gt;0),ROUND((($BB$3-BE8)-(0))/($F8-0),0),0),"")</f>
        <v/>
      </c>
      <c r="BL8" s="12" t="str">
        <f aca="false">IF($G8=1,IF(AND($E8&gt;=2,($F8-1)&gt;0),ROUND((($BB$3-BE8)-(BK8))/($F8-1),0),0),"")</f>
        <v/>
      </c>
      <c r="BM8" s="12" t="str">
        <f aca="false">IF($G8=1,IF(AND($E8&gt;=3,($F8-2)&gt;0),ROUND((($BB$3-BE8)-(BK8+BL8))/($F8-2),0),0),"")</f>
        <v/>
      </c>
      <c r="BN8" s="12" t="str">
        <f aca="false">IF($G8=1,IF(AND($E8&gt;=4,($F8-3)&gt;0),ROUND((($BB$3-BE8)-(BK8+BL8+BM8))/($F8-3),0),0),"")</f>
        <v/>
      </c>
      <c r="BO8" s="12" t="str">
        <f aca="false">IF($G8=1,IF(AND($E8&gt;=5,($F8-4)&gt;0),ROUND((($BB$3-BE8)-(BK8+BL8+BM8+BN8))/($F8-4),0),0),"")</f>
        <v/>
      </c>
      <c r="BP8" s="12" t="n">
        <f aca="false">IF($A8="","",IF($G8=1,(BK8+BL8+BM8+BN8+BO8),BP7))</f>
        <v>10</v>
      </c>
      <c r="BQ8" s="12" t="n">
        <f aca="false">IF($A8="","",IF($G8=1,IF('Base de Dados'!$B$7="Sim",(BF8+BG8+BH8+BI8+BJ8),MAX(BP8,(BF8+BG8+BH8+BI8+BJ8))),BQ7))</f>
        <v>10</v>
      </c>
      <c r="BR8" s="12" t="n">
        <f aca="false">IF($A8="","",IF($G8=1,BP8,BR7-N(BS7)))</f>
        <v>0</v>
      </c>
      <c r="BS8" s="12" t="str">
        <f aca="false">IF($C8=1,ROUND(BR8/($E8-$D8+1),0),"")</f>
        <v/>
      </c>
      <c r="BT8" s="12" t="str">
        <f aca="false">IF($C8&lt;&gt;1,"",IF('Base de Dados'!$B$7="Sim",IF(SUMIFS(BB$5:BB7,$B$5:$B7,$B8)&lt;SUMIFS(BS$5:BS7,$B$5:$B7,$B8)-0.000000001,ROUNDUP(ROUND(MAX(BQ8-SUMIFS(BB$5:BB7,$B$5:$B7,$B8),0)/($E8-$D8+1),6),0),ROUND(MAX(BQ8-SUMIFS(BB$5:BB7,$B$5:$B7,$B8),0)/($E8-$D8+1),0)),MAX(BS8,IF(SUMIFS(BB$5:BB7,$B$5:$B7,$B8)&lt;SUMIFS(BS$5:BS7,$B$5:$B7,$B8)-0.000000001,ROUNDUP(ROUND(MAX(BQ8-SUMIFS(BB$5:BB7,$B$5:$B7,$B8),0)/($E8-$D8+1),6),0),ROUND(MAX(BQ8-SUMIFS(BB$5:BB7,$B$5:$B7,$B8),0)/($E8-$D8+1),0)))))</f>
        <v/>
      </c>
      <c r="BU8" s="12" t="n">
        <f aca="false">IF($A8="",0,IF('Meta Diária'!O8&lt;&gt;"",'Meta Diária'!O8,IF(AND($C8=1,$A8&gt;='Base de Dados'!$B$6),CM8,0)))</f>
        <v>0</v>
      </c>
      <c r="BV8" s="12" t="n">
        <f aca="false">BV7+BU7</f>
        <v>0</v>
      </c>
      <c r="BW8" s="41" t="str">
        <f aca="false">IF($G8=1,IF(BV8&lt;BX8-0.000000001,1,0),"")</f>
        <v/>
      </c>
      <c r="BX8" s="12" t="str">
        <f aca="false">IF($G8=1,SUMIFS(CI$5:CI7,$G$5:$G7,1),"")</f>
        <v/>
      </c>
      <c r="BY8" s="12" t="str">
        <f aca="false">IF($G8=1,IF(AND($E8&gt;=1,($F8-0)&gt;0),IF(BW8=1,ROUNDUP(ROUND((MAX($BU$3-BV8,0)-(0))/($F8-0),6),0),ROUND((MAX($BU$3-BV8,0)-(0))/($F8-0),0)),0),"")</f>
        <v/>
      </c>
      <c r="BZ8" s="12" t="str">
        <f aca="false">IF($G8=1,IF(AND($E8&gt;=2,($F8-1)&gt;0),IF(BW8=1,ROUNDUP(ROUND((MAX($BU$3-BV8,0)-(BY8))/($F8-1),6),0),ROUND((MAX($BU$3-BV8,0)-(BY8))/($F8-1),0)),0),"")</f>
        <v/>
      </c>
      <c r="CA8" s="12" t="str">
        <f aca="false">IF($G8=1,IF(AND($E8&gt;=3,($F8-2)&gt;0),IF(BW8=1,ROUNDUP(ROUND((MAX($BU$3-BV8,0)-(BY8+BZ8))/($F8-2),6),0),ROUND((MAX($BU$3-BV8,0)-(BY8+BZ8))/($F8-2),0)),0),"")</f>
        <v/>
      </c>
      <c r="CB8" s="12" t="str">
        <f aca="false">IF($G8=1,IF(AND($E8&gt;=4,($F8-3)&gt;0),IF(BW8=1,ROUNDUP(ROUND((MAX($BU$3-BV8,0)-(BY8+BZ8+CA8))/($F8-3),6),0),ROUND((MAX($BU$3-BV8,0)-(BY8+BZ8+CA8))/($F8-3),0)),0),"")</f>
        <v/>
      </c>
      <c r="CC8" s="12" t="str">
        <f aca="false">IF($G8=1,IF(AND($E8&gt;=5,($F8-4)&gt;0),IF(BW8=1,ROUNDUP(ROUND((MAX($BU$3-BV8,0)-(BY8+BZ8+CA8+CB8))/($F8-4),6),0),ROUND((MAX($BU$3-BV8,0)-(BY8+BZ8+CA8+CB8))/($F8-4),0)),0),"")</f>
        <v/>
      </c>
      <c r="CD8" s="12" t="str">
        <f aca="false">IF($G8=1,IF(AND($E8&gt;=1,($F8-0)&gt;0),ROUND((($BU$3-BX8)-(0))/($F8-0),0),0),"")</f>
        <v/>
      </c>
      <c r="CE8" s="12" t="str">
        <f aca="false">IF($G8=1,IF(AND($E8&gt;=2,($F8-1)&gt;0),ROUND((($BU$3-BX8)-(CD8))/($F8-1),0),0),"")</f>
        <v/>
      </c>
      <c r="CF8" s="12" t="str">
        <f aca="false">IF($G8=1,IF(AND($E8&gt;=3,($F8-2)&gt;0),ROUND((($BU$3-BX8)-(CD8+CE8))/($F8-2),0),0),"")</f>
        <v/>
      </c>
      <c r="CG8" s="12" t="str">
        <f aca="false">IF($G8=1,IF(AND($E8&gt;=4,($F8-3)&gt;0),ROUND((($BU$3-BX8)-(CD8+CE8+CF8))/($F8-3),0),0),"")</f>
        <v/>
      </c>
      <c r="CH8" s="12" t="str">
        <f aca="false">IF($G8=1,IF(AND($E8&gt;=5,($F8-4)&gt;0),ROUND((($BU$3-BX8)-(CD8+CE8+CF8+CG8))/($F8-4),0),0),"")</f>
        <v/>
      </c>
      <c r="CI8" s="12" t="n">
        <f aca="false">IF($A8="","",IF($G8=1,(CD8+CE8+CF8+CG8+CH8),CI7))</f>
        <v>4</v>
      </c>
      <c r="CJ8" s="12" t="n">
        <f aca="false">IF($A8="","",IF($G8=1,IF('Base de Dados'!$B$7="Sim",(BY8+BZ8+CA8+CB8+CC8),MAX(CI8,(BY8+BZ8+CA8+CB8+CC8))),CJ7))</f>
        <v>4</v>
      </c>
      <c r="CK8" s="12" t="n">
        <f aca="false">IF($A8="","",IF($G8=1,CI8,CK7-N(CL7)))</f>
        <v>0</v>
      </c>
      <c r="CL8" s="12" t="str">
        <f aca="false">IF($C8=1,ROUND(CK8/($E8-$D8+1),0),"")</f>
        <v/>
      </c>
      <c r="CM8" s="12" t="str">
        <f aca="false">IF($C8&lt;&gt;1,"",IF('Base de Dados'!$B$7="Sim",IF(SUMIFS(BU$5:BU7,$B$5:$B7,$B8)&lt;SUMIFS(CL$5:CL7,$B$5:$B7,$B8)-0.000000001,ROUNDUP(ROUND(MAX(CJ8-SUMIFS(BU$5:BU7,$B$5:$B7,$B8),0)/($E8-$D8+1),6),0),ROUND(MAX(CJ8-SUMIFS(BU$5:BU7,$B$5:$B7,$B8),0)/($E8-$D8+1),0)),MAX(CL8,IF(SUMIFS(BU$5:BU7,$B$5:$B7,$B8)&lt;SUMIFS(CL$5:CL7,$B$5:$B7,$B8)-0.000000001,ROUNDUP(ROUND(MAX(CJ8-SUMIFS(BU$5:BU7,$B$5:$B7,$B8),0)/($E8-$D8+1),6),0),ROUND(MAX(CJ8-SUMIFS(BU$5:BU7,$B$5:$B7,$B8),0)/($E8-$D8+1),0)))))</f>
        <v/>
      </c>
    </row>
    <row r="9" customFormat="false" ht="15" hidden="false" customHeight="false" outlineLevel="0" collapsed="false">
      <c r="A9" s="7" t="n">
        <f aca="false">IF($E$2+3&lt;=EOMONTH($E$2,0),$E$2+3,"")</f>
        <v>46299</v>
      </c>
      <c r="B9" s="41" t="n">
        <f aca="false">IF(A9="","",IF(COUNTIFS(H$6:H$36,H9,C$6:C$36,1)=0,"",IF(H9=H8,B8,1+MAX(B$5:B8))))</f>
        <v>1</v>
      </c>
      <c r="C9" s="41" t="n">
        <f aca="false">IF(A9="",0,IF(AND(WEEKDAY(A9,2)&lt;=5,COUNTIF(Folgas!$A$5:$A$300,A9)=0),1,0))</f>
        <v>0</v>
      </c>
      <c r="D9" s="41" t="n">
        <f aca="false">IF(C9=1,COUNTIFS(B$6:B9,B9,C$6:C9,1),0)</f>
        <v>0</v>
      </c>
      <c r="E9" s="41" t="n">
        <f aca="false">IF(OR(A9="",B9=""),0,COUNTIFS(B$6:B$36,B9,C$6:C$36,1))</f>
        <v>2</v>
      </c>
      <c r="F9" s="41" t="n">
        <f aca="false">IF(OR(A9="",B9=""),0,COUNTIFS(B$6:B$36,"&gt;="&amp;B9,C$6:C$36,1))</f>
        <v>21</v>
      </c>
      <c r="G9" s="41" t="n">
        <f aca="false">IF(OR(A9="",B9=""),0,IF(B9=B8,0,1))</f>
        <v>0</v>
      </c>
      <c r="H9" s="41" t="n">
        <f aca="false">IF(A9="","",INT((A9-$E$3)/7)+1)</f>
        <v>1</v>
      </c>
      <c r="J9" s="13" t="n">
        <f aca="false">IF($A9="",0,IF('Meta Diária'!G9&lt;&gt;"",'Meta Diária'!G9,IF(AND($C9=1,$A9&gt;='Base de Dados'!$B$6),O9,0)))</f>
        <v>0</v>
      </c>
      <c r="K9" s="13" t="n">
        <f aca="false">K8+J8</f>
        <v>0</v>
      </c>
      <c r="L9" s="13" t="n">
        <f aca="false">IF($A9="","",IF($G9=1,IF($B$2=0,0,$J$3*$E9/$B$2),L8))</f>
        <v>2857.14285714286</v>
      </c>
      <c r="M9" s="13" t="n">
        <f aca="false">IF($A9="","",IF($G9=1,IF('Base de Dados'!$B$7="Sim",IF($F9=0,0,MAX($J$3-K9,0)*$E9/$F9),MAX(L9,IF($F9=0,0,MAX($J$3-K9,0)*$E9/$F9))),M8))</f>
        <v>2857.14285714286</v>
      </c>
      <c r="N9" s="13" t="str">
        <f aca="false">IF($C9=1,M9/$E9,"")</f>
        <v/>
      </c>
      <c r="O9" s="13" t="str">
        <f aca="false">IF($C9&lt;&gt;1,"",IF('Base de Dados'!$B$7="Sim",MAX(M9-SUMIFS(J$5:J8,$B$5:$B8,$B9),0)/($E9-$D9+1),MAX(N9,MAX(M9-SUMIFS(J$5:J8,$B$5:$B8,$B9),0)/($E9-$D9+1))))</f>
        <v/>
      </c>
      <c r="P9" s="12" t="n">
        <f aca="false">IF($A9="",0,IF('Meta Diária'!I9&lt;&gt;"",'Meta Diária'!I9,IF(AND($C9=1,$A9&gt;='Base de Dados'!$B$6),AH9,0)))</f>
        <v>0</v>
      </c>
      <c r="Q9" s="12" t="n">
        <f aca="false">Q8+P8</f>
        <v>0</v>
      </c>
      <c r="R9" s="41" t="str">
        <f aca="false">IF($G9=1,IF(Q9&lt;S9-0.000000001,1,0),"")</f>
        <v/>
      </c>
      <c r="S9" s="12" t="str">
        <f aca="false">IF($G9=1,SUMIFS(AD$5:AD8,$G$5:$G8,1),"")</f>
        <v/>
      </c>
      <c r="T9" s="12" t="str">
        <f aca="false">IF($G9=1,IF(AND($E9&gt;=1,($F9-0)&gt;0),IF(R9=1,ROUNDUP(ROUND((MAX($P$3-Q9,0)-(0))/($F9-0),6),0),ROUND((MAX($P$3-Q9,0)-(0))/($F9-0),0)),0),"")</f>
        <v/>
      </c>
      <c r="U9" s="12" t="str">
        <f aca="false">IF($G9=1,IF(AND($E9&gt;=2,($F9-1)&gt;0),IF(R9=1,ROUNDUP(ROUND((MAX($P$3-Q9,0)-(T9))/($F9-1),6),0),ROUND((MAX($P$3-Q9,0)-(T9))/($F9-1),0)),0),"")</f>
        <v/>
      </c>
      <c r="V9" s="12" t="str">
        <f aca="false">IF($G9=1,IF(AND($E9&gt;=3,($F9-2)&gt;0),IF(R9=1,ROUNDUP(ROUND((MAX($P$3-Q9,0)-(T9+U9))/($F9-2),6),0),ROUND((MAX($P$3-Q9,0)-(T9+U9))/($F9-2),0)),0),"")</f>
        <v/>
      </c>
      <c r="W9" s="12" t="str">
        <f aca="false">IF($G9=1,IF(AND($E9&gt;=4,($F9-3)&gt;0),IF(R9=1,ROUNDUP(ROUND((MAX($P$3-Q9,0)-(T9+U9+V9))/($F9-3),6),0),ROUND((MAX($P$3-Q9,0)-(T9+U9+V9))/($F9-3),0)),0),"")</f>
        <v/>
      </c>
      <c r="X9" s="12" t="str">
        <f aca="false">IF($G9=1,IF(AND($E9&gt;=5,($F9-4)&gt;0),IF(R9=1,ROUNDUP(ROUND((MAX($P$3-Q9,0)-(T9+U9+V9+W9))/($F9-4),6),0),ROUND((MAX($P$3-Q9,0)-(T9+U9+V9+W9))/($F9-4),0)),0),"")</f>
        <v/>
      </c>
      <c r="Y9" s="12" t="str">
        <f aca="false">IF($G9=1,IF(AND($E9&gt;=1,($F9-0)&gt;0),ROUND((($P$3-S9)-(0))/($F9-0),0),0),"")</f>
        <v/>
      </c>
      <c r="Z9" s="12" t="str">
        <f aca="false">IF($G9=1,IF(AND($E9&gt;=2,($F9-1)&gt;0),ROUND((($P$3-S9)-(Y9))/($F9-1),0),0),"")</f>
        <v/>
      </c>
      <c r="AA9" s="12" t="str">
        <f aca="false">IF($G9=1,IF(AND($E9&gt;=3,($F9-2)&gt;0),ROUND((($P$3-S9)-(Y9+Z9))/($F9-2),0),0),"")</f>
        <v/>
      </c>
      <c r="AB9" s="12" t="str">
        <f aca="false">IF($G9=1,IF(AND($E9&gt;=4,($F9-3)&gt;0),ROUND((($P$3-S9)-(Y9+Z9+AA9))/($F9-3),0),0),"")</f>
        <v/>
      </c>
      <c r="AC9" s="12" t="str">
        <f aca="false">IF($G9=1,IF(AND($E9&gt;=5,($F9-4)&gt;0),ROUND((($P$3-S9)-(Y9+Z9+AA9+AB9))/($F9-4),0),0),"")</f>
        <v/>
      </c>
      <c r="AD9" s="12" t="n">
        <f aca="false">IF($A9="","",IF($G9=1,(Y9+Z9+AA9+AB9+AC9),AD8))</f>
        <v>82</v>
      </c>
      <c r="AE9" s="12" t="n">
        <f aca="false">IF($A9="","",IF($G9=1,IF('Base de Dados'!$B$7="Sim",(T9+U9+V9+W9+X9),MAX(AD9,(T9+U9+V9+W9+X9))),AE8))</f>
        <v>82</v>
      </c>
      <c r="AF9" s="12" t="n">
        <f aca="false">IF($A9="","",IF($G9=1,AD9,AF8-N(AG8)))</f>
        <v>0</v>
      </c>
      <c r="AG9" s="12" t="str">
        <f aca="false">IF($C9=1,ROUND(AF9/($E9-$D9+1),0),"")</f>
        <v/>
      </c>
      <c r="AH9" s="12" t="str">
        <f aca="false">IF($C9&lt;&gt;1,"",IF('Base de Dados'!$B$7="Sim",IF(SUMIFS(P$5:P8,$B$5:$B8,$B9)&lt;SUMIFS(AG$5:AG8,$B$5:$B8,$B9)-0.000000001,ROUNDUP(ROUND(MAX(AE9-SUMIFS(P$5:P8,$B$5:$B8,$B9),0)/($E9-$D9+1),6),0),ROUND(MAX(AE9-SUMIFS(P$5:P8,$B$5:$B8,$B9),0)/($E9-$D9+1),0)),MAX(AG9,IF(SUMIFS(P$5:P8,$B$5:$B8,$B9)&lt;SUMIFS(AG$5:AG8,$B$5:$B8,$B9)-0.000000001,ROUNDUP(ROUND(MAX(AE9-SUMIFS(P$5:P8,$B$5:$B8,$B9),0)/($E9-$D9+1),6),0),ROUND(MAX(AE9-SUMIFS(P$5:P8,$B$5:$B8,$B9),0)/($E9-$D9+1),0)))))</f>
        <v/>
      </c>
      <c r="AI9" s="12" t="n">
        <f aca="false">IF($A9="",0,IF('Meta Diária'!K9&lt;&gt;"",'Meta Diária'!K9,IF(AND($C9=1,$A9&gt;='Base de Dados'!$B$6),BA9,0)))</f>
        <v>0</v>
      </c>
      <c r="AJ9" s="12" t="n">
        <f aca="false">AJ8+AI8</f>
        <v>0</v>
      </c>
      <c r="AK9" s="41" t="str">
        <f aca="false">IF($G9=1,IF(AJ9&lt;AL9-0.000000001,1,0),"")</f>
        <v/>
      </c>
      <c r="AL9" s="12" t="str">
        <f aca="false">IF($G9=1,SUMIFS(AW$5:AW8,$G$5:$G8,1),"")</f>
        <v/>
      </c>
      <c r="AM9" s="12" t="str">
        <f aca="false">IF($G9=1,IF(AND($E9&gt;=1,($F9-0)&gt;0),IF(AK9=1,ROUNDUP(ROUND((MAX($AI$3-AJ9,0)-(0))/($F9-0),6),0),ROUND((MAX($AI$3-AJ9,0)-(0))/($F9-0),0)),0),"")</f>
        <v/>
      </c>
      <c r="AN9" s="12" t="str">
        <f aca="false">IF($G9=1,IF(AND($E9&gt;=2,($F9-1)&gt;0),IF(AK9=1,ROUNDUP(ROUND((MAX($AI$3-AJ9,0)-(AM9))/($F9-1),6),0),ROUND((MAX($AI$3-AJ9,0)-(AM9))/($F9-1),0)),0),"")</f>
        <v/>
      </c>
      <c r="AO9" s="12" t="str">
        <f aca="false">IF($G9=1,IF(AND($E9&gt;=3,($F9-2)&gt;0),IF(AK9=1,ROUNDUP(ROUND((MAX($AI$3-AJ9,0)-(AM9+AN9))/($F9-2),6),0),ROUND((MAX($AI$3-AJ9,0)-(AM9+AN9))/($F9-2),0)),0),"")</f>
        <v/>
      </c>
      <c r="AP9" s="12" t="str">
        <f aca="false">IF($G9=1,IF(AND($E9&gt;=4,($F9-3)&gt;0),IF(AK9=1,ROUNDUP(ROUND((MAX($AI$3-AJ9,0)-(AM9+AN9+AO9))/($F9-3),6),0),ROUND((MAX($AI$3-AJ9,0)-(AM9+AN9+AO9))/($F9-3),0)),0),"")</f>
        <v/>
      </c>
      <c r="AQ9" s="12" t="str">
        <f aca="false">IF($G9=1,IF(AND($E9&gt;=5,($F9-4)&gt;0),IF(AK9=1,ROUNDUP(ROUND((MAX($AI$3-AJ9,0)-(AM9+AN9+AO9+AP9))/($F9-4),6),0),ROUND((MAX($AI$3-AJ9,0)-(AM9+AN9+AO9+AP9))/($F9-4),0)),0),"")</f>
        <v/>
      </c>
      <c r="AR9" s="12" t="str">
        <f aca="false">IF($G9=1,IF(AND($E9&gt;=1,($F9-0)&gt;0),ROUND((($AI$3-AL9)-(0))/($F9-0),0),0),"")</f>
        <v/>
      </c>
      <c r="AS9" s="12" t="str">
        <f aca="false">IF($G9=1,IF(AND($E9&gt;=2,($F9-1)&gt;0),ROUND((($AI$3-AL9)-(AR9))/($F9-1),0),0),"")</f>
        <v/>
      </c>
      <c r="AT9" s="12" t="str">
        <f aca="false">IF($G9=1,IF(AND($E9&gt;=3,($F9-2)&gt;0),ROUND((($AI$3-AL9)-(AR9+AS9))/($F9-2),0),0),"")</f>
        <v/>
      </c>
      <c r="AU9" s="12" t="str">
        <f aca="false">IF($G9=1,IF(AND($E9&gt;=4,($F9-3)&gt;0),ROUND((($AI$3-AL9)-(AR9+AS9+AT9))/($F9-3),0),0),"")</f>
        <v/>
      </c>
      <c r="AV9" s="12" t="str">
        <f aca="false">IF($G9=1,IF(AND($E9&gt;=5,($F9-4)&gt;0),ROUND((($AI$3-AL9)-(AR9+AS9+AT9+AU9))/($F9-4),0),0),"")</f>
        <v/>
      </c>
      <c r="AW9" s="12" t="n">
        <f aca="false">IF($A9="","",IF($G9=1,(AR9+AS9+AT9+AU9+AV9),AW8))</f>
        <v>16</v>
      </c>
      <c r="AX9" s="12" t="n">
        <f aca="false">IF($A9="","",IF($G9=1,IF('Base de Dados'!$B$7="Sim",(AM9+AN9+AO9+AP9+AQ9),MAX(AW9,(AM9+AN9+AO9+AP9+AQ9))),AX8))</f>
        <v>16</v>
      </c>
      <c r="AY9" s="12" t="n">
        <f aca="false">IF($A9="","",IF($G9=1,AW9,AY8-N(AZ8)))</f>
        <v>0</v>
      </c>
      <c r="AZ9" s="12" t="str">
        <f aca="false">IF($C9=1,ROUND(AY9/($E9-$D9+1),0),"")</f>
        <v/>
      </c>
      <c r="BA9" s="12" t="str">
        <f aca="false">IF($C9&lt;&gt;1,"",IF('Base de Dados'!$B$7="Sim",IF(SUMIFS(AI$5:AI8,$B$5:$B8,$B9)&lt;SUMIFS(AZ$5:AZ8,$B$5:$B8,$B9)-0.000000001,ROUNDUP(ROUND(MAX(AX9-SUMIFS(AI$5:AI8,$B$5:$B8,$B9),0)/($E9-$D9+1),6),0),ROUND(MAX(AX9-SUMIFS(AI$5:AI8,$B$5:$B8,$B9),0)/($E9-$D9+1),0)),MAX(AZ9,IF(SUMIFS(AI$5:AI8,$B$5:$B8,$B9)&lt;SUMIFS(AZ$5:AZ8,$B$5:$B8,$B9)-0.000000001,ROUNDUP(ROUND(MAX(AX9-SUMIFS(AI$5:AI8,$B$5:$B8,$B9),0)/($E9-$D9+1),6),0),ROUND(MAX(AX9-SUMIFS(AI$5:AI8,$B$5:$B8,$B9),0)/($E9-$D9+1),0)))))</f>
        <v/>
      </c>
      <c r="BB9" s="12" t="n">
        <f aca="false">IF($A9="",0,IF('Meta Diária'!M9&lt;&gt;"",'Meta Diária'!M9,IF(AND($C9=1,$A9&gt;='Base de Dados'!$B$6),BT9,0)))</f>
        <v>0</v>
      </c>
      <c r="BC9" s="12" t="n">
        <f aca="false">BC8+BB8</f>
        <v>0</v>
      </c>
      <c r="BD9" s="41" t="str">
        <f aca="false">IF($G9=1,IF(BC9&lt;BE9-0.000000001,1,0),"")</f>
        <v/>
      </c>
      <c r="BE9" s="12" t="str">
        <f aca="false">IF($G9=1,SUMIFS(BP$5:BP8,$G$5:$G8,1),"")</f>
        <v/>
      </c>
      <c r="BF9" s="12" t="str">
        <f aca="false">IF($G9=1,IF(AND($E9&gt;=1,($F9-0)&gt;0),IF(BD9=1,ROUNDUP(ROUND((MAX($BB$3-BC9,0)-(0))/($F9-0),6),0),ROUND((MAX($BB$3-BC9,0)-(0))/($F9-0),0)),0),"")</f>
        <v/>
      </c>
      <c r="BG9" s="12" t="str">
        <f aca="false">IF($G9=1,IF(AND($E9&gt;=2,($F9-1)&gt;0),IF(BD9=1,ROUNDUP(ROUND((MAX($BB$3-BC9,0)-(BF9))/($F9-1),6),0),ROUND((MAX($BB$3-BC9,0)-(BF9))/($F9-1),0)),0),"")</f>
        <v/>
      </c>
      <c r="BH9" s="12" t="str">
        <f aca="false">IF($G9=1,IF(AND($E9&gt;=3,($F9-2)&gt;0),IF(BD9=1,ROUNDUP(ROUND((MAX($BB$3-BC9,0)-(BF9+BG9))/($F9-2),6),0),ROUND((MAX($BB$3-BC9,0)-(BF9+BG9))/($F9-2),0)),0),"")</f>
        <v/>
      </c>
      <c r="BI9" s="12" t="str">
        <f aca="false">IF($G9=1,IF(AND($E9&gt;=4,($F9-3)&gt;0),IF(BD9=1,ROUNDUP(ROUND((MAX($BB$3-BC9,0)-(BF9+BG9+BH9))/($F9-3),6),0),ROUND((MAX($BB$3-BC9,0)-(BF9+BG9+BH9))/($F9-3),0)),0),"")</f>
        <v/>
      </c>
      <c r="BJ9" s="12" t="str">
        <f aca="false">IF($G9=1,IF(AND($E9&gt;=5,($F9-4)&gt;0),IF(BD9=1,ROUNDUP(ROUND((MAX($BB$3-BC9,0)-(BF9+BG9+BH9+BI9))/($F9-4),6),0),ROUND((MAX($BB$3-BC9,0)-(BF9+BG9+BH9+BI9))/($F9-4),0)),0),"")</f>
        <v/>
      </c>
      <c r="BK9" s="12" t="str">
        <f aca="false">IF($G9=1,IF(AND($E9&gt;=1,($F9-0)&gt;0),ROUND((($BB$3-BE9)-(0))/($F9-0),0),0),"")</f>
        <v/>
      </c>
      <c r="BL9" s="12" t="str">
        <f aca="false">IF($G9=1,IF(AND($E9&gt;=2,($F9-1)&gt;0),ROUND((($BB$3-BE9)-(BK9))/($F9-1),0),0),"")</f>
        <v/>
      </c>
      <c r="BM9" s="12" t="str">
        <f aca="false">IF($G9=1,IF(AND($E9&gt;=3,($F9-2)&gt;0),ROUND((($BB$3-BE9)-(BK9+BL9))/($F9-2),0),0),"")</f>
        <v/>
      </c>
      <c r="BN9" s="12" t="str">
        <f aca="false">IF($G9=1,IF(AND($E9&gt;=4,($F9-3)&gt;0),ROUND((($BB$3-BE9)-(BK9+BL9+BM9))/($F9-3),0),0),"")</f>
        <v/>
      </c>
      <c r="BO9" s="12" t="str">
        <f aca="false">IF($G9=1,IF(AND($E9&gt;=5,($F9-4)&gt;0),ROUND((($BB$3-BE9)-(BK9+BL9+BM9+BN9))/($F9-4),0),0),"")</f>
        <v/>
      </c>
      <c r="BP9" s="12" t="n">
        <f aca="false">IF($A9="","",IF($G9=1,(BK9+BL9+BM9+BN9+BO9),BP8))</f>
        <v>10</v>
      </c>
      <c r="BQ9" s="12" t="n">
        <f aca="false">IF($A9="","",IF($G9=1,IF('Base de Dados'!$B$7="Sim",(BF9+BG9+BH9+BI9+BJ9),MAX(BP9,(BF9+BG9+BH9+BI9+BJ9))),BQ8))</f>
        <v>10</v>
      </c>
      <c r="BR9" s="12" t="n">
        <f aca="false">IF($A9="","",IF($G9=1,BP9,BR8-N(BS8)))</f>
        <v>0</v>
      </c>
      <c r="BS9" s="12" t="str">
        <f aca="false">IF($C9=1,ROUND(BR9/($E9-$D9+1),0),"")</f>
        <v/>
      </c>
      <c r="BT9" s="12" t="str">
        <f aca="false">IF($C9&lt;&gt;1,"",IF('Base de Dados'!$B$7="Sim",IF(SUMIFS(BB$5:BB8,$B$5:$B8,$B9)&lt;SUMIFS(BS$5:BS8,$B$5:$B8,$B9)-0.000000001,ROUNDUP(ROUND(MAX(BQ9-SUMIFS(BB$5:BB8,$B$5:$B8,$B9),0)/($E9-$D9+1),6),0),ROUND(MAX(BQ9-SUMIFS(BB$5:BB8,$B$5:$B8,$B9),0)/($E9-$D9+1),0)),MAX(BS9,IF(SUMIFS(BB$5:BB8,$B$5:$B8,$B9)&lt;SUMIFS(BS$5:BS8,$B$5:$B8,$B9)-0.000000001,ROUNDUP(ROUND(MAX(BQ9-SUMIFS(BB$5:BB8,$B$5:$B8,$B9),0)/($E9-$D9+1),6),0),ROUND(MAX(BQ9-SUMIFS(BB$5:BB8,$B$5:$B8,$B9),0)/($E9-$D9+1),0)))))</f>
        <v/>
      </c>
      <c r="BU9" s="12" t="n">
        <f aca="false">IF($A9="",0,IF('Meta Diária'!O9&lt;&gt;"",'Meta Diária'!O9,IF(AND($C9=1,$A9&gt;='Base de Dados'!$B$6),CM9,0)))</f>
        <v>0</v>
      </c>
      <c r="BV9" s="12" t="n">
        <f aca="false">BV8+BU8</f>
        <v>0</v>
      </c>
      <c r="BW9" s="41" t="str">
        <f aca="false">IF($G9=1,IF(BV9&lt;BX9-0.000000001,1,0),"")</f>
        <v/>
      </c>
      <c r="BX9" s="12" t="str">
        <f aca="false">IF($G9=1,SUMIFS(CI$5:CI8,$G$5:$G8,1),"")</f>
        <v/>
      </c>
      <c r="BY9" s="12" t="str">
        <f aca="false">IF($G9=1,IF(AND($E9&gt;=1,($F9-0)&gt;0),IF(BW9=1,ROUNDUP(ROUND((MAX($BU$3-BV9,0)-(0))/($F9-0),6),0),ROUND((MAX($BU$3-BV9,0)-(0))/($F9-0),0)),0),"")</f>
        <v/>
      </c>
      <c r="BZ9" s="12" t="str">
        <f aca="false">IF($G9=1,IF(AND($E9&gt;=2,($F9-1)&gt;0),IF(BW9=1,ROUNDUP(ROUND((MAX($BU$3-BV9,0)-(BY9))/($F9-1),6),0),ROUND((MAX($BU$3-BV9,0)-(BY9))/($F9-1),0)),0),"")</f>
        <v/>
      </c>
      <c r="CA9" s="12" t="str">
        <f aca="false">IF($G9=1,IF(AND($E9&gt;=3,($F9-2)&gt;0),IF(BW9=1,ROUNDUP(ROUND((MAX($BU$3-BV9,0)-(BY9+BZ9))/($F9-2),6),0),ROUND((MAX($BU$3-BV9,0)-(BY9+BZ9))/($F9-2),0)),0),"")</f>
        <v/>
      </c>
      <c r="CB9" s="12" t="str">
        <f aca="false">IF($G9=1,IF(AND($E9&gt;=4,($F9-3)&gt;0),IF(BW9=1,ROUNDUP(ROUND((MAX($BU$3-BV9,0)-(BY9+BZ9+CA9))/($F9-3),6),0),ROUND((MAX($BU$3-BV9,0)-(BY9+BZ9+CA9))/($F9-3),0)),0),"")</f>
        <v/>
      </c>
      <c r="CC9" s="12" t="str">
        <f aca="false">IF($G9=1,IF(AND($E9&gt;=5,($F9-4)&gt;0),IF(BW9=1,ROUNDUP(ROUND((MAX($BU$3-BV9,0)-(BY9+BZ9+CA9+CB9))/($F9-4),6),0),ROUND((MAX($BU$3-BV9,0)-(BY9+BZ9+CA9+CB9))/($F9-4),0)),0),"")</f>
        <v/>
      </c>
      <c r="CD9" s="12" t="str">
        <f aca="false">IF($G9=1,IF(AND($E9&gt;=1,($F9-0)&gt;0),ROUND((($BU$3-BX9)-(0))/($F9-0),0),0),"")</f>
        <v/>
      </c>
      <c r="CE9" s="12" t="str">
        <f aca="false">IF($G9=1,IF(AND($E9&gt;=2,($F9-1)&gt;0),ROUND((($BU$3-BX9)-(CD9))/($F9-1),0),0),"")</f>
        <v/>
      </c>
      <c r="CF9" s="12" t="str">
        <f aca="false">IF($G9=1,IF(AND($E9&gt;=3,($F9-2)&gt;0),ROUND((($BU$3-BX9)-(CD9+CE9))/($F9-2),0),0),"")</f>
        <v/>
      </c>
      <c r="CG9" s="12" t="str">
        <f aca="false">IF($G9=1,IF(AND($E9&gt;=4,($F9-3)&gt;0),ROUND((($BU$3-BX9)-(CD9+CE9+CF9))/($F9-3),0),0),"")</f>
        <v/>
      </c>
      <c r="CH9" s="12" t="str">
        <f aca="false">IF($G9=1,IF(AND($E9&gt;=5,($F9-4)&gt;0),ROUND((($BU$3-BX9)-(CD9+CE9+CF9+CG9))/($F9-4),0),0),"")</f>
        <v/>
      </c>
      <c r="CI9" s="12" t="n">
        <f aca="false">IF($A9="","",IF($G9=1,(CD9+CE9+CF9+CG9+CH9),CI8))</f>
        <v>4</v>
      </c>
      <c r="CJ9" s="12" t="n">
        <f aca="false">IF($A9="","",IF($G9=1,IF('Base de Dados'!$B$7="Sim",(BY9+BZ9+CA9+CB9+CC9),MAX(CI9,(BY9+BZ9+CA9+CB9+CC9))),CJ8))</f>
        <v>4</v>
      </c>
      <c r="CK9" s="12" t="n">
        <f aca="false">IF($A9="","",IF($G9=1,CI9,CK8-N(CL8)))</f>
        <v>0</v>
      </c>
      <c r="CL9" s="12" t="str">
        <f aca="false">IF($C9=1,ROUND(CK9/($E9-$D9+1),0),"")</f>
        <v/>
      </c>
      <c r="CM9" s="12" t="str">
        <f aca="false">IF($C9&lt;&gt;1,"",IF('Base de Dados'!$B$7="Sim",IF(SUMIFS(BU$5:BU8,$B$5:$B8,$B9)&lt;SUMIFS(CL$5:CL8,$B$5:$B8,$B9)-0.000000001,ROUNDUP(ROUND(MAX(CJ9-SUMIFS(BU$5:BU8,$B$5:$B8,$B9),0)/($E9-$D9+1),6),0),ROUND(MAX(CJ9-SUMIFS(BU$5:BU8,$B$5:$B8,$B9),0)/($E9-$D9+1),0)),MAX(CL9,IF(SUMIFS(BU$5:BU8,$B$5:$B8,$B9)&lt;SUMIFS(CL$5:CL8,$B$5:$B8,$B9)-0.000000001,ROUNDUP(ROUND(MAX(CJ9-SUMIFS(BU$5:BU8,$B$5:$B8,$B9),0)/($E9-$D9+1),6),0),ROUND(MAX(CJ9-SUMIFS(BU$5:BU8,$B$5:$B8,$B9),0)/($E9-$D9+1),0)))))</f>
        <v/>
      </c>
    </row>
    <row r="10" customFormat="false" ht="15" hidden="false" customHeight="false" outlineLevel="0" collapsed="false">
      <c r="A10" s="7" t="n">
        <f aca="false">IF($E$2+4&lt;=EOMONTH($E$2,0),$E$2+4,"")</f>
        <v>46300</v>
      </c>
      <c r="B10" s="41" t="n">
        <f aca="false">IF(A10="","",IF(COUNTIFS(H$6:H$36,H10,C$6:C$36,1)=0,"",IF(H10=H9,B9,1+MAX(B$5:B9))))</f>
        <v>2</v>
      </c>
      <c r="C10" s="41" t="n">
        <f aca="false">IF(A10="",0,IF(AND(WEEKDAY(A10,2)&lt;=5,COUNTIF(Folgas!$A$5:$A$300,A10)=0),1,0))</f>
        <v>1</v>
      </c>
      <c r="D10" s="41" t="n">
        <f aca="false">IF(C10=1,COUNTIFS(B$6:B10,B10,C$6:C10,1),0)</f>
        <v>1</v>
      </c>
      <c r="E10" s="41" t="n">
        <f aca="false">IF(OR(A10="",B10=""),0,COUNTIFS(B$6:B$36,B10,C$6:C$36,1))</f>
        <v>5</v>
      </c>
      <c r="F10" s="41" t="n">
        <f aca="false">IF(OR(A10="",B10=""),0,COUNTIFS(B$6:B$36,"&gt;="&amp;B10,C$6:C$36,1))</f>
        <v>19</v>
      </c>
      <c r="G10" s="41" t="n">
        <f aca="false">IF(OR(A10="",B10=""),0,IF(B10=B9,0,1))</f>
        <v>1</v>
      </c>
      <c r="H10" s="41" t="n">
        <f aca="false">IF(A10="","",INT((A10-$E$3)/7)+1)</f>
        <v>2</v>
      </c>
      <c r="J10" s="13" t="n">
        <f aca="false">IF($A10="",0,IF('Meta Diária'!G10&lt;&gt;"",'Meta Diária'!G10,IF(AND($C10=1,$A10&gt;='Base de Dados'!$B$6),O10,0)))</f>
        <v>0</v>
      </c>
      <c r="K10" s="13" t="n">
        <f aca="false">K9+J9</f>
        <v>0</v>
      </c>
      <c r="L10" s="13" t="n">
        <f aca="false">IF($A10="","",IF($G10=1,IF($B$2=0,0,$J$3*$E10/$B$2),L9))</f>
        <v>7142.85714285714</v>
      </c>
      <c r="M10" s="13" t="n">
        <f aca="false">IF($A10="","",IF($G10=1,IF('Base de Dados'!$B$7="Sim",IF($F10=0,0,MAX($J$3-K10,0)*$E10/$F10),MAX(L10,IF($F10=0,0,MAX($J$3-K10,0)*$E10/$F10))),M9))</f>
        <v>7894.73684210526</v>
      </c>
      <c r="N10" s="13" t="n">
        <f aca="false">IF($C10=1,M10/$E10,"")</f>
        <v>1578.94736842105</v>
      </c>
      <c r="O10" s="13" t="n">
        <f aca="false">IF($C10&lt;&gt;1,"",IF('Base de Dados'!$B$7="Sim",MAX(M10-SUMIFS(J$5:J9,$B$5:$B9,$B10),0)/($E10-$D10+1),MAX(N10,MAX(M10-SUMIFS(J$5:J9,$B$5:$B9,$B10),0)/($E10-$D10+1))))</f>
        <v>1578.94736842105</v>
      </c>
      <c r="P10" s="12" t="n">
        <f aca="false">IF($A10="",0,IF('Meta Diária'!I10&lt;&gt;"",'Meta Diária'!I10,IF(AND($C10=1,$A10&gt;='Base de Dados'!$B$6),AH10,0)))</f>
        <v>0</v>
      </c>
      <c r="Q10" s="12" t="n">
        <f aca="false">Q9+P9</f>
        <v>0</v>
      </c>
      <c r="R10" s="41" t="n">
        <f aca="false">IF($G10=1,IF(Q10&lt;S10-0.000000001,1,0),"")</f>
        <v>1</v>
      </c>
      <c r="S10" s="12" t="n">
        <f aca="false">IF($G10=1,SUMIFS(AD$5:AD9,$G$5:$G9,1),"")</f>
        <v>82</v>
      </c>
      <c r="T10" s="12" t="n">
        <f aca="false">IF($G10=1,IF(AND($E10&gt;=1,($F10-0)&gt;0),IF(R10=1,ROUNDUP(ROUND((MAX($P$3-Q10,0)-(0))/($F10-0),6),0),ROUND((MAX($P$3-Q10,0)-(0))/($F10-0),0)),0),"")</f>
        <v>46</v>
      </c>
      <c r="U10" s="12" t="n">
        <f aca="false">IF($G10=1,IF(AND($E10&gt;=2,($F10-1)&gt;0),IF(R10=1,ROUNDUP(ROUND((MAX($P$3-Q10,0)-(T10))/($F10-1),6),0),ROUND((MAX($P$3-Q10,0)-(T10))/($F10-1),0)),0),"")</f>
        <v>46</v>
      </c>
      <c r="V10" s="12" t="n">
        <f aca="false">IF($G10=1,IF(AND($E10&gt;=3,($F10-2)&gt;0),IF(R10=1,ROUNDUP(ROUND((MAX($P$3-Q10,0)-(T10+U10))/($F10-2),6),0),ROUND((MAX($P$3-Q10,0)-(T10+U10))/($F10-2),0)),0),"")</f>
        <v>46</v>
      </c>
      <c r="W10" s="12" t="n">
        <f aca="false">IF($G10=1,IF(AND($E10&gt;=4,($F10-3)&gt;0),IF(R10=1,ROUNDUP(ROUND((MAX($P$3-Q10,0)-(T10+U10+V10))/($F10-3),6),0),ROUND((MAX($P$3-Q10,0)-(T10+U10+V10))/($F10-3),0)),0),"")</f>
        <v>45</v>
      </c>
      <c r="X10" s="12" t="n">
        <f aca="false">IF($G10=1,IF(AND($E10&gt;=5,($F10-4)&gt;0),IF(R10=1,ROUNDUP(ROUND((MAX($P$3-Q10,0)-(T10+U10+V10+W10))/($F10-4),6),0),ROUND((MAX($P$3-Q10,0)-(T10+U10+V10+W10))/($F10-4),0)),0),"")</f>
        <v>45</v>
      </c>
      <c r="Y10" s="12" t="n">
        <f aca="false">IF($G10=1,IF(AND($E10&gt;=1,($F10-0)&gt;0),ROUND((($P$3-S10)-(0))/($F10-0),0),0),"")</f>
        <v>41</v>
      </c>
      <c r="Z10" s="12" t="n">
        <f aca="false">IF($G10=1,IF(AND($E10&gt;=2,($F10-1)&gt;0),ROUND((($P$3-S10)-(Y10))/($F10-1),0),0),"")</f>
        <v>41</v>
      </c>
      <c r="AA10" s="12" t="n">
        <f aca="false">IF($G10=1,IF(AND($E10&gt;=3,($F10-2)&gt;0),ROUND((($P$3-S10)-(Y10+Z10))/($F10-2),0),0),"")</f>
        <v>41</v>
      </c>
      <c r="AB10" s="12" t="n">
        <f aca="false">IF($G10=1,IF(AND($E10&gt;=4,($F10-3)&gt;0),ROUND((($P$3-S10)-(Y10+Z10+AA10))/($F10-3),0),0),"")</f>
        <v>41</v>
      </c>
      <c r="AC10" s="12" t="n">
        <f aca="false">IF($G10=1,IF(AND($E10&gt;=5,($F10-4)&gt;0),ROUND((($P$3-S10)-(Y10+Z10+AA10+AB10))/($F10-4),0),0),"")</f>
        <v>41</v>
      </c>
      <c r="AD10" s="12" t="n">
        <f aca="false">IF($A10="","",IF($G10=1,(Y10+Z10+AA10+AB10+AC10),AD9))</f>
        <v>205</v>
      </c>
      <c r="AE10" s="12" t="n">
        <f aca="false">IF($A10="","",IF($G10=1,IF('Base de Dados'!$B$7="Sim",(T10+U10+V10+W10+X10),MAX(AD10,(T10+U10+V10+W10+X10))),AE9))</f>
        <v>228</v>
      </c>
      <c r="AF10" s="12" t="n">
        <f aca="false">IF($A10="","",IF($G10=1,AD10,AF9-N(AG9)))</f>
        <v>205</v>
      </c>
      <c r="AG10" s="12" t="n">
        <f aca="false">IF($C10=1,ROUND(AF10/($E10-$D10+1),0),"")</f>
        <v>41</v>
      </c>
      <c r="AH10" s="12" t="n">
        <f aca="false">IF($C10&lt;&gt;1,"",IF('Base de Dados'!$B$7="Sim",IF(SUMIFS(P$5:P9,$B$5:$B9,$B10)&lt;SUMIFS(AG$5:AG9,$B$5:$B9,$B10)-0.000000001,ROUNDUP(ROUND(MAX(AE10-SUMIFS(P$5:P9,$B$5:$B9,$B10),0)/($E10-$D10+1),6),0),ROUND(MAX(AE10-SUMIFS(P$5:P9,$B$5:$B9,$B10),0)/($E10-$D10+1),0)),MAX(AG10,IF(SUMIFS(P$5:P9,$B$5:$B9,$B10)&lt;SUMIFS(AG$5:AG9,$B$5:$B9,$B10)-0.000000001,ROUNDUP(ROUND(MAX(AE10-SUMIFS(P$5:P9,$B$5:$B9,$B10),0)/($E10-$D10+1),6),0),ROUND(MAX(AE10-SUMIFS(P$5:P9,$B$5:$B9,$B10),0)/($E10-$D10+1),0)))))</f>
        <v>46</v>
      </c>
      <c r="AI10" s="12" t="n">
        <f aca="false">IF($A10="",0,IF('Meta Diária'!K10&lt;&gt;"",'Meta Diária'!K10,IF(AND($C10=1,$A10&gt;='Base de Dados'!$B$6),BA10,0)))</f>
        <v>0</v>
      </c>
      <c r="AJ10" s="12" t="n">
        <f aca="false">AJ9+AI9</f>
        <v>0</v>
      </c>
      <c r="AK10" s="41" t="n">
        <f aca="false">IF($G10=1,IF(AJ10&lt;AL10-0.000000001,1,0),"")</f>
        <v>1</v>
      </c>
      <c r="AL10" s="12" t="n">
        <f aca="false">IF($G10=1,SUMIFS(AW$5:AW9,$G$5:$G9,1),"")</f>
        <v>16</v>
      </c>
      <c r="AM10" s="12" t="n">
        <f aca="false">IF($G10=1,IF(AND($E10&gt;=1,($F10-0)&gt;0),IF(AK10=1,ROUNDUP(ROUND((MAX($AI$3-AJ10,0)-(0))/($F10-0),6),0),ROUND((MAX($AI$3-AJ10,0)-(0))/($F10-0),0)),0),"")</f>
        <v>10</v>
      </c>
      <c r="AN10" s="12" t="n">
        <f aca="false">IF($G10=1,IF(AND($E10&gt;=2,($F10-1)&gt;0),IF(AK10=1,ROUNDUP(ROUND((MAX($AI$3-AJ10,0)-(AM10))/($F10-1),6),0),ROUND((MAX($AI$3-AJ10,0)-(AM10))/($F10-1),0)),0),"")</f>
        <v>9</v>
      </c>
      <c r="AO10" s="12" t="n">
        <f aca="false">IF($G10=1,IF(AND($E10&gt;=3,($F10-2)&gt;0),IF(AK10=1,ROUNDUP(ROUND((MAX($AI$3-AJ10,0)-(AM10+AN10))/($F10-2),6),0),ROUND((MAX($AI$3-AJ10,0)-(AM10+AN10))/($F10-2),0)),0),"")</f>
        <v>9</v>
      </c>
      <c r="AP10" s="12" t="n">
        <f aca="false">IF($G10=1,IF(AND($E10&gt;=4,($F10-3)&gt;0),IF(AK10=1,ROUNDUP(ROUND((MAX($AI$3-AJ10,0)-(AM10+AN10+AO10))/($F10-3),6),0),ROUND((MAX($AI$3-AJ10,0)-(AM10+AN10+AO10))/($F10-3),0)),0),"")</f>
        <v>9</v>
      </c>
      <c r="AQ10" s="12" t="n">
        <f aca="false">IF($G10=1,IF(AND($E10&gt;=5,($F10-4)&gt;0),IF(AK10=1,ROUNDUP(ROUND((MAX($AI$3-AJ10,0)-(AM10+AN10+AO10+AP10))/($F10-4),6),0),ROUND((MAX($AI$3-AJ10,0)-(AM10+AN10+AO10+AP10))/($F10-4),0)),0),"")</f>
        <v>9</v>
      </c>
      <c r="AR10" s="12" t="n">
        <f aca="false">IF($G10=1,IF(AND($E10&gt;=1,($F10-0)&gt;0),ROUND((($AI$3-AL10)-(0))/($F10-0),0),0),"")</f>
        <v>8</v>
      </c>
      <c r="AS10" s="12" t="n">
        <f aca="false">IF($G10=1,IF(AND($E10&gt;=2,($F10-1)&gt;0),ROUND((($AI$3-AL10)-(AR10))/($F10-1),0),0),"")</f>
        <v>8</v>
      </c>
      <c r="AT10" s="12" t="n">
        <f aca="false">IF($G10=1,IF(AND($E10&gt;=3,($F10-2)&gt;0),ROUND((($AI$3-AL10)-(AR10+AS10))/($F10-2),0),0),"")</f>
        <v>8</v>
      </c>
      <c r="AU10" s="12" t="n">
        <f aca="false">IF($G10=1,IF(AND($E10&gt;=4,($F10-3)&gt;0),ROUND((($AI$3-AL10)-(AR10+AS10+AT10))/($F10-3),0),0),"")</f>
        <v>8</v>
      </c>
      <c r="AV10" s="12" t="n">
        <f aca="false">IF($G10=1,IF(AND($E10&gt;=5,($F10-4)&gt;0),ROUND((($AI$3-AL10)-(AR10+AS10+AT10+AU10))/($F10-4),0),0),"")</f>
        <v>8</v>
      </c>
      <c r="AW10" s="12" t="n">
        <f aca="false">IF($A10="","",IF($G10=1,(AR10+AS10+AT10+AU10+AV10),AW9))</f>
        <v>40</v>
      </c>
      <c r="AX10" s="12" t="n">
        <f aca="false">IF($A10="","",IF($G10=1,IF('Base de Dados'!$B$7="Sim",(AM10+AN10+AO10+AP10+AQ10),MAX(AW10,(AM10+AN10+AO10+AP10+AQ10))),AX9))</f>
        <v>46</v>
      </c>
      <c r="AY10" s="12" t="n">
        <f aca="false">IF($A10="","",IF($G10=1,AW10,AY9-N(AZ9)))</f>
        <v>40</v>
      </c>
      <c r="AZ10" s="12" t="n">
        <f aca="false">IF($C10=1,ROUND(AY10/($E10-$D10+1),0),"")</f>
        <v>8</v>
      </c>
      <c r="BA10" s="12" t="n">
        <f aca="false">IF($C10&lt;&gt;1,"",IF('Base de Dados'!$B$7="Sim",IF(SUMIFS(AI$5:AI9,$B$5:$B9,$B10)&lt;SUMIFS(AZ$5:AZ9,$B$5:$B9,$B10)-0.000000001,ROUNDUP(ROUND(MAX(AX10-SUMIFS(AI$5:AI9,$B$5:$B9,$B10),0)/($E10-$D10+1),6),0),ROUND(MAX(AX10-SUMIFS(AI$5:AI9,$B$5:$B9,$B10),0)/($E10-$D10+1),0)),MAX(AZ10,IF(SUMIFS(AI$5:AI9,$B$5:$B9,$B10)&lt;SUMIFS(AZ$5:AZ9,$B$5:$B9,$B10)-0.000000001,ROUNDUP(ROUND(MAX(AX10-SUMIFS(AI$5:AI9,$B$5:$B9,$B10),0)/($E10-$D10+1),6),0),ROUND(MAX(AX10-SUMIFS(AI$5:AI9,$B$5:$B9,$B10),0)/($E10-$D10+1),0)))))</f>
        <v>9</v>
      </c>
      <c r="BB10" s="12" t="n">
        <f aca="false">IF($A10="",0,IF('Meta Diária'!M10&lt;&gt;"",'Meta Diária'!M10,IF(AND($C10=1,$A10&gt;='Base de Dados'!$B$6),BT10,0)))</f>
        <v>0</v>
      </c>
      <c r="BC10" s="12" t="n">
        <f aca="false">BC9+BB9</f>
        <v>0</v>
      </c>
      <c r="BD10" s="41" t="n">
        <f aca="false">IF($G10=1,IF(BC10&lt;BE10-0.000000001,1,0),"")</f>
        <v>1</v>
      </c>
      <c r="BE10" s="12" t="n">
        <f aca="false">IF($G10=1,SUMIFS(BP$5:BP9,$G$5:$G9,1),"")</f>
        <v>10</v>
      </c>
      <c r="BF10" s="12" t="n">
        <f aca="false">IF($G10=1,IF(AND($E10&gt;=1,($F10-0)&gt;0),IF(BD10=1,ROUNDUP(ROUND((MAX($BB$3-BC10,0)-(0))/($F10-0),6),0),ROUND((MAX($BB$3-BC10,0)-(0))/($F10-0),0)),0),"")</f>
        <v>6</v>
      </c>
      <c r="BG10" s="12" t="n">
        <f aca="false">IF($G10=1,IF(AND($E10&gt;=2,($F10-1)&gt;0),IF(BD10=1,ROUNDUP(ROUND((MAX($BB$3-BC10,0)-(BF10))/($F10-1),6),0),ROUND((MAX($BB$3-BC10,0)-(BF10))/($F10-1),0)),0),"")</f>
        <v>6</v>
      </c>
      <c r="BH10" s="12" t="n">
        <f aca="false">IF($G10=1,IF(AND($E10&gt;=3,($F10-2)&gt;0),IF(BD10=1,ROUNDUP(ROUND((MAX($BB$3-BC10,0)-(BF10+BG10))/($F10-2),6),0),ROUND((MAX($BB$3-BC10,0)-(BF10+BG10))/($F10-2),0)),0),"")</f>
        <v>6</v>
      </c>
      <c r="BI10" s="12" t="n">
        <f aca="false">IF($G10=1,IF(AND($E10&gt;=4,($F10-3)&gt;0),IF(BD10=1,ROUNDUP(ROUND((MAX($BB$3-BC10,0)-(BF10+BG10+BH10))/($F10-3),6),0),ROUND((MAX($BB$3-BC10,0)-(BF10+BG10+BH10))/($F10-3),0)),0),"")</f>
        <v>6</v>
      </c>
      <c r="BJ10" s="12" t="n">
        <f aca="false">IF($G10=1,IF(AND($E10&gt;=5,($F10-4)&gt;0),IF(BD10=1,ROUNDUP(ROUND((MAX($BB$3-BC10,0)-(BF10+BG10+BH10+BI10))/($F10-4),6),0),ROUND((MAX($BB$3-BC10,0)-(BF10+BG10+BH10+BI10))/($F10-4),0)),0),"")</f>
        <v>6</v>
      </c>
      <c r="BK10" s="12" t="n">
        <f aca="false">IF($G10=1,IF(AND($E10&gt;=1,($F10-0)&gt;0),ROUND((($BB$3-BE10)-(0))/($F10-0),0),0),"")</f>
        <v>5</v>
      </c>
      <c r="BL10" s="12" t="n">
        <f aca="false">IF($G10=1,IF(AND($E10&gt;=2,($F10-1)&gt;0),ROUND((($BB$3-BE10)-(BK10))/($F10-1),0),0),"")</f>
        <v>5</v>
      </c>
      <c r="BM10" s="12" t="n">
        <f aca="false">IF($G10=1,IF(AND($E10&gt;=3,($F10-2)&gt;0),ROUND((($BB$3-BE10)-(BK10+BL10))/($F10-2),0),0),"")</f>
        <v>5</v>
      </c>
      <c r="BN10" s="12" t="n">
        <f aca="false">IF($G10=1,IF(AND($E10&gt;=4,($F10-3)&gt;0),ROUND((($BB$3-BE10)-(BK10+BL10+BM10))/($F10-3),0),0),"")</f>
        <v>5</v>
      </c>
      <c r="BO10" s="12" t="n">
        <f aca="false">IF($G10=1,IF(AND($E10&gt;=5,($F10-4)&gt;0),ROUND((($BB$3-BE10)-(BK10+BL10+BM10+BN10))/($F10-4),0),0),"")</f>
        <v>5</v>
      </c>
      <c r="BP10" s="12" t="n">
        <f aca="false">IF($A10="","",IF($G10=1,(BK10+BL10+BM10+BN10+BO10),BP9))</f>
        <v>25</v>
      </c>
      <c r="BQ10" s="12" t="n">
        <f aca="false">IF($A10="","",IF($G10=1,IF('Base de Dados'!$B$7="Sim",(BF10+BG10+BH10+BI10+BJ10),MAX(BP10,(BF10+BG10+BH10+BI10+BJ10))),BQ9))</f>
        <v>30</v>
      </c>
      <c r="BR10" s="12" t="n">
        <f aca="false">IF($A10="","",IF($G10=1,BP10,BR9-N(BS9)))</f>
        <v>25</v>
      </c>
      <c r="BS10" s="12" t="n">
        <f aca="false">IF($C10=1,ROUND(BR10/($E10-$D10+1),0),"")</f>
        <v>5</v>
      </c>
      <c r="BT10" s="12" t="n">
        <f aca="false">IF($C10&lt;&gt;1,"",IF('Base de Dados'!$B$7="Sim",IF(SUMIFS(BB$5:BB9,$B$5:$B9,$B10)&lt;SUMIFS(BS$5:BS9,$B$5:$B9,$B10)-0.000000001,ROUNDUP(ROUND(MAX(BQ10-SUMIFS(BB$5:BB9,$B$5:$B9,$B10),0)/($E10-$D10+1),6),0),ROUND(MAX(BQ10-SUMIFS(BB$5:BB9,$B$5:$B9,$B10),0)/($E10-$D10+1),0)),MAX(BS10,IF(SUMIFS(BB$5:BB9,$B$5:$B9,$B10)&lt;SUMIFS(BS$5:BS9,$B$5:$B9,$B10)-0.000000001,ROUNDUP(ROUND(MAX(BQ10-SUMIFS(BB$5:BB9,$B$5:$B9,$B10),0)/($E10-$D10+1),6),0),ROUND(MAX(BQ10-SUMIFS(BB$5:BB9,$B$5:$B9,$B10),0)/($E10-$D10+1),0)))))</f>
        <v>6</v>
      </c>
      <c r="BU10" s="12" t="n">
        <f aca="false">IF($A10="",0,IF('Meta Diária'!O10&lt;&gt;"",'Meta Diária'!O10,IF(AND($C10=1,$A10&gt;='Base de Dados'!$B$6),CM10,0)))</f>
        <v>0</v>
      </c>
      <c r="BV10" s="12" t="n">
        <f aca="false">BV9+BU9</f>
        <v>0</v>
      </c>
      <c r="BW10" s="41" t="n">
        <f aca="false">IF($G10=1,IF(BV10&lt;BX10-0.000000001,1,0),"")</f>
        <v>1</v>
      </c>
      <c r="BX10" s="12" t="n">
        <f aca="false">IF($G10=1,SUMIFS(CI$5:CI9,$G$5:$G9,1),"")</f>
        <v>4</v>
      </c>
      <c r="BY10" s="12" t="n">
        <f aca="false">IF($G10=1,IF(AND($E10&gt;=1,($F10-0)&gt;0),IF(BW10=1,ROUNDUP(ROUND((MAX($BU$3-BV10,0)-(0))/($F10-0),6),0),ROUND((MAX($BU$3-BV10,0)-(0))/($F10-0),0)),0),"")</f>
        <v>2</v>
      </c>
      <c r="BZ10" s="12" t="n">
        <f aca="false">IF($G10=1,IF(AND($E10&gt;=2,($F10-1)&gt;0),IF(BW10=1,ROUNDUP(ROUND((MAX($BU$3-BV10,0)-(BY10))/($F10-1),6),0),ROUND((MAX($BU$3-BV10,0)-(BY10))/($F10-1),0)),0),"")</f>
        <v>2</v>
      </c>
      <c r="CA10" s="12" t="n">
        <f aca="false">IF($G10=1,IF(AND($E10&gt;=3,($F10-2)&gt;0),IF(BW10=1,ROUNDUP(ROUND((MAX($BU$3-BV10,0)-(BY10+BZ10))/($F10-2),6),0),ROUND((MAX($BU$3-BV10,0)-(BY10+BZ10))/($F10-2),0)),0),"")</f>
        <v>2</v>
      </c>
      <c r="CB10" s="12" t="n">
        <f aca="false">IF($G10=1,IF(AND($E10&gt;=4,($F10-3)&gt;0),IF(BW10=1,ROUNDUP(ROUND((MAX($BU$3-BV10,0)-(BY10+BZ10+CA10))/($F10-3),6),0),ROUND((MAX($BU$3-BV10,0)-(BY10+BZ10+CA10))/($F10-3),0)),0),"")</f>
        <v>2</v>
      </c>
      <c r="CC10" s="12" t="n">
        <f aca="false">IF($G10=1,IF(AND($E10&gt;=5,($F10-4)&gt;0),IF(BW10=1,ROUNDUP(ROUND((MAX($BU$3-BV10,0)-(BY10+BZ10+CA10+CB10))/($F10-4),6),0),ROUND((MAX($BU$3-BV10,0)-(BY10+BZ10+CA10+CB10))/($F10-4),0)),0),"")</f>
        <v>2</v>
      </c>
      <c r="CD10" s="12" t="n">
        <f aca="false">IF($G10=1,IF(AND($E10&gt;=1,($F10-0)&gt;0),ROUND((($BU$3-BX10)-(0))/($F10-0),0),0),"")</f>
        <v>1</v>
      </c>
      <c r="CE10" s="12" t="n">
        <f aca="false">IF($G10=1,IF(AND($E10&gt;=2,($F10-1)&gt;0),ROUND((($BU$3-BX10)-(CD10))/($F10-1),0),0),"")</f>
        <v>2</v>
      </c>
      <c r="CF10" s="12" t="n">
        <f aca="false">IF($G10=1,IF(AND($E10&gt;=3,($F10-2)&gt;0),ROUND((($BU$3-BX10)-(CD10+CE10))/($F10-2),0),0),"")</f>
        <v>1</v>
      </c>
      <c r="CG10" s="12" t="n">
        <f aca="false">IF($G10=1,IF(AND($E10&gt;=4,($F10-3)&gt;0),ROUND((($BU$3-BX10)-(CD10+CE10+CF10))/($F10-3),0),0),"")</f>
        <v>2</v>
      </c>
      <c r="CH10" s="12" t="n">
        <f aca="false">IF($G10=1,IF(AND($E10&gt;=5,($F10-4)&gt;0),ROUND((($BU$3-BX10)-(CD10+CE10+CF10+CG10))/($F10-4),0),0),"")</f>
        <v>1</v>
      </c>
      <c r="CI10" s="12" t="n">
        <f aca="false">IF($A10="","",IF($G10=1,(CD10+CE10+CF10+CG10+CH10),CI9))</f>
        <v>7</v>
      </c>
      <c r="CJ10" s="12" t="n">
        <f aca="false">IF($A10="","",IF($G10=1,IF('Base de Dados'!$B$7="Sim",(BY10+BZ10+CA10+CB10+CC10),MAX(CI10,(BY10+BZ10+CA10+CB10+CC10))),CJ9))</f>
        <v>10</v>
      </c>
      <c r="CK10" s="12" t="n">
        <f aca="false">IF($A10="","",IF($G10=1,CI10,CK9-N(CL9)))</f>
        <v>7</v>
      </c>
      <c r="CL10" s="12" t="n">
        <f aca="false">IF($C10=1,ROUND(CK10/($E10-$D10+1),0),"")</f>
        <v>1</v>
      </c>
      <c r="CM10" s="12" t="n">
        <f aca="false">IF($C10&lt;&gt;1,"",IF('Base de Dados'!$B$7="Sim",IF(SUMIFS(BU$5:BU9,$B$5:$B9,$B10)&lt;SUMIFS(CL$5:CL9,$B$5:$B9,$B10)-0.000000001,ROUNDUP(ROUND(MAX(CJ10-SUMIFS(BU$5:BU9,$B$5:$B9,$B10),0)/($E10-$D10+1),6),0),ROUND(MAX(CJ10-SUMIFS(BU$5:BU9,$B$5:$B9,$B10),0)/($E10-$D10+1),0)),MAX(CL10,IF(SUMIFS(BU$5:BU9,$B$5:$B9,$B10)&lt;SUMIFS(CL$5:CL9,$B$5:$B9,$B10)-0.000000001,ROUNDUP(ROUND(MAX(CJ10-SUMIFS(BU$5:BU9,$B$5:$B9,$B10),0)/($E10-$D10+1),6),0),ROUND(MAX(CJ10-SUMIFS(BU$5:BU9,$B$5:$B9,$B10),0)/($E10-$D10+1),0)))))</f>
        <v>2</v>
      </c>
    </row>
    <row r="11" customFormat="false" ht="15" hidden="false" customHeight="false" outlineLevel="0" collapsed="false">
      <c r="A11" s="7" t="n">
        <f aca="false">IF($E$2+5&lt;=EOMONTH($E$2,0),$E$2+5,"")</f>
        <v>46301</v>
      </c>
      <c r="B11" s="41" t="n">
        <f aca="false">IF(A11="","",IF(COUNTIFS(H$6:H$36,H11,C$6:C$36,1)=0,"",IF(H11=H10,B10,1+MAX(B$5:B10))))</f>
        <v>2</v>
      </c>
      <c r="C11" s="41" t="n">
        <f aca="false">IF(A11="",0,IF(AND(WEEKDAY(A11,2)&lt;=5,COUNTIF(Folgas!$A$5:$A$300,A11)=0),1,0))</f>
        <v>1</v>
      </c>
      <c r="D11" s="41" t="n">
        <f aca="false">IF(C11=1,COUNTIFS(B$6:B11,B11,C$6:C11,1),0)</f>
        <v>2</v>
      </c>
      <c r="E11" s="41" t="n">
        <f aca="false">IF(OR(A11="",B11=""),0,COUNTIFS(B$6:B$36,B11,C$6:C$36,1))</f>
        <v>5</v>
      </c>
      <c r="F11" s="41" t="n">
        <f aca="false">IF(OR(A11="",B11=""),0,COUNTIFS(B$6:B$36,"&gt;="&amp;B11,C$6:C$36,1))</f>
        <v>19</v>
      </c>
      <c r="G11" s="41" t="n">
        <f aca="false">IF(OR(A11="",B11=""),0,IF(B11=B10,0,1))</f>
        <v>0</v>
      </c>
      <c r="H11" s="41" t="n">
        <f aca="false">IF(A11="","",INT((A11-$E$3)/7)+1)</f>
        <v>2</v>
      </c>
      <c r="J11" s="13" t="n">
        <f aca="false">IF($A11="",0,IF('Meta Diária'!G11&lt;&gt;"",'Meta Diária'!G11,IF(AND($C11=1,$A11&gt;='Base de Dados'!$B$6),O11,0)))</f>
        <v>0</v>
      </c>
      <c r="K11" s="13" t="n">
        <f aca="false">K10+J10</f>
        <v>0</v>
      </c>
      <c r="L11" s="13" t="n">
        <f aca="false">IF($A11="","",IF($G11=1,IF($B$2=0,0,$J$3*$E11/$B$2),L10))</f>
        <v>7142.85714285714</v>
      </c>
      <c r="M11" s="13" t="n">
        <f aca="false">IF($A11="","",IF($G11=1,IF('Base de Dados'!$B$7="Sim",IF($F11=0,0,MAX($J$3-K11,0)*$E11/$F11),MAX(L11,IF($F11=0,0,MAX($J$3-K11,0)*$E11/$F11))),M10))</f>
        <v>7894.73684210526</v>
      </c>
      <c r="N11" s="13" t="n">
        <f aca="false">IF($C11=1,M11/$E11,"")</f>
        <v>1578.94736842105</v>
      </c>
      <c r="O11" s="13" t="n">
        <f aca="false">IF($C11&lt;&gt;1,"",IF('Base de Dados'!$B$7="Sim",MAX(M11-SUMIFS(J$5:J10,$B$5:$B10,$B11),0)/($E11-$D11+1),MAX(N11,MAX(M11-SUMIFS(J$5:J10,$B$5:$B10,$B11),0)/($E11-$D11+1))))</f>
        <v>1973.68421052632</v>
      </c>
      <c r="P11" s="12" t="n">
        <f aca="false">IF($A11="",0,IF('Meta Diária'!I11&lt;&gt;"",'Meta Diária'!I11,IF(AND($C11=1,$A11&gt;='Base de Dados'!$B$6),AH11,0)))</f>
        <v>0</v>
      </c>
      <c r="Q11" s="12" t="n">
        <f aca="false">Q10+P10</f>
        <v>0</v>
      </c>
      <c r="R11" s="41" t="str">
        <f aca="false">IF($G11=1,IF(Q11&lt;S11-0.000000001,1,0),"")</f>
        <v/>
      </c>
      <c r="S11" s="12" t="str">
        <f aca="false">IF($G11=1,SUMIFS(AD$5:AD10,$G$5:$G10,1),"")</f>
        <v/>
      </c>
      <c r="T11" s="12" t="str">
        <f aca="false">IF($G11=1,IF(AND($E11&gt;=1,($F11-0)&gt;0),IF(R11=1,ROUNDUP(ROUND((MAX($P$3-Q11,0)-(0))/($F11-0),6),0),ROUND((MAX($P$3-Q11,0)-(0))/($F11-0),0)),0),"")</f>
        <v/>
      </c>
      <c r="U11" s="12" t="str">
        <f aca="false">IF($G11=1,IF(AND($E11&gt;=2,($F11-1)&gt;0),IF(R11=1,ROUNDUP(ROUND((MAX($P$3-Q11,0)-(T11))/($F11-1),6),0),ROUND((MAX($P$3-Q11,0)-(T11))/($F11-1),0)),0),"")</f>
        <v/>
      </c>
      <c r="V11" s="12" t="str">
        <f aca="false">IF($G11=1,IF(AND($E11&gt;=3,($F11-2)&gt;0),IF(R11=1,ROUNDUP(ROUND((MAX($P$3-Q11,0)-(T11+U11))/($F11-2),6),0),ROUND((MAX($P$3-Q11,0)-(T11+U11))/($F11-2),0)),0),"")</f>
        <v/>
      </c>
      <c r="W11" s="12" t="str">
        <f aca="false">IF($G11=1,IF(AND($E11&gt;=4,($F11-3)&gt;0),IF(R11=1,ROUNDUP(ROUND((MAX($P$3-Q11,0)-(T11+U11+V11))/($F11-3),6),0),ROUND((MAX($P$3-Q11,0)-(T11+U11+V11))/($F11-3),0)),0),"")</f>
        <v/>
      </c>
      <c r="X11" s="12" t="str">
        <f aca="false">IF($G11=1,IF(AND($E11&gt;=5,($F11-4)&gt;0),IF(R11=1,ROUNDUP(ROUND((MAX($P$3-Q11,0)-(T11+U11+V11+W11))/($F11-4),6),0),ROUND((MAX($P$3-Q11,0)-(T11+U11+V11+W11))/($F11-4),0)),0),"")</f>
        <v/>
      </c>
      <c r="Y11" s="12" t="str">
        <f aca="false">IF($G11=1,IF(AND($E11&gt;=1,($F11-0)&gt;0),ROUND((($P$3-S11)-(0))/($F11-0),0),0),"")</f>
        <v/>
      </c>
      <c r="Z11" s="12" t="str">
        <f aca="false">IF($G11=1,IF(AND($E11&gt;=2,($F11-1)&gt;0),ROUND((($P$3-S11)-(Y11))/($F11-1),0),0),"")</f>
        <v/>
      </c>
      <c r="AA11" s="12" t="str">
        <f aca="false">IF($G11=1,IF(AND($E11&gt;=3,($F11-2)&gt;0),ROUND((($P$3-S11)-(Y11+Z11))/($F11-2),0),0),"")</f>
        <v/>
      </c>
      <c r="AB11" s="12" t="str">
        <f aca="false">IF($G11=1,IF(AND($E11&gt;=4,($F11-3)&gt;0),ROUND((($P$3-S11)-(Y11+Z11+AA11))/($F11-3),0),0),"")</f>
        <v/>
      </c>
      <c r="AC11" s="12" t="str">
        <f aca="false">IF($G11=1,IF(AND($E11&gt;=5,($F11-4)&gt;0),ROUND((($P$3-S11)-(Y11+Z11+AA11+AB11))/($F11-4),0),0),"")</f>
        <v/>
      </c>
      <c r="AD11" s="12" t="n">
        <f aca="false">IF($A11="","",IF($G11=1,(Y11+Z11+AA11+AB11+AC11),AD10))</f>
        <v>205</v>
      </c>
      <c r="AE11" s="12" t="n">
        <f aca="false">IF($A11="","",IF($G11=1,IF('Base de Dados'!$B$7="Sim",(T11+U11+V11+W11+X11),MAX(AD11,(T11+U11+V11+W11+X11))),AE10))</f>
        <v>228</v>
      </c>
      <c r="AF11" s="12" t="n">
        <f aca="false">IF($A11="","",IF($G11=1,AD11,AF10-N(AG10)))</f>
        <v>164</v>
      </c>
      <c r="AG11" s="12" t="n">
        <f aca="false">IF($C11=1,ROUND(AF11/($E11-$D11+1),0),"")</f>
        <v>41</v>
      </c>
      <c r="AH11" s="12" t="n">
        <f aca="false">IF($C11&lt;&gt;1,"",IF('Base de Dados'!$B$7="Sim",IF(SUMIFS(P$5:P10,$B$5:$B10,$B11)&lt;SUMIFS(AG$5:AG10,$B$5:$B10,$B11)-0.000000001,ROUNDUP(ROUND(MAX(AE11-SUMIFS(P$5:P10,$B$5:$B10,$B11),0)/($E11-$D11+1),6),0),ROUND(MAX(AE11-SUMIFS(P$5:P10,$B$5:$B10,$B11),0)/($E11-$D11+1),0)),MAX(AG11,IF(SUMIFS(P$5:P10,$B$5:$B10,$B11)&lt;SUMIFS(AG$5:AG10,$B$5:$B10,$B11)-0.000000001,ROUNDUP(ROUND(MAX(AE11-SUMIFS(P$5:P10,$B$5:$B10,$B11),0)/($E11-$D11+1),6),0),ROUND(MAX(AE11-SUMIFS(P$5:P10,$B$5:$B10,$B11),0)/($E11-$D11+1),0)))))</f>
        <v>57</v>
      </c>
      <c r="AI11" s="12" t="n">
        <f aca="false">IF($A11="",0,IF('Meta Diária'!K11&lt;&gt;"",'Meta Diária'!K11,IF(AND($C11=1,$A11&gt;='Base de Dados'!$B$6),BA11,0)))</f>
        <v>0</v>
      </c>
      <c r="AJ11" s="12" t="n">
        <f aca="false">AJ10+AI10</f>
        <v>0</v>
      </c>
      <c r="AK11" s="41" t="str">
        <f aca="false">IF($G11=1,IF(AJ11&lt;AL11-0.000000001,1,0),"")</f>
        <v/>
      </c>
      <c r="AL11" s="12" t="str">
        <f aca="false">IF($G11=1,SUMIFS(AW$5:AW10,$G$5:$G10,1),"")</f>
        <v/>
      </c>
      <c r="AM11" s="12" t="str">
        <f aca="false">IF($G11=1,IF(AND($E11&gt;=1,($F11-0)&gt;0),IF(AK11=1,ROUNDUP(ROUND((MAX($AI$3-AJ11,0)-(0))/($F11-0),6),0),ROUND((MAX($AI$3-AJ11,0)-(0))/($F11-0),0)),0),"")</f>
        <v/>
      </c>
      <c r="AN11" s="12" t="str">
        <f aca="false">IF($G11=1,IF(AND($E11&gt;=2,($F11-1)&gt;0),IF(AK11=1,ROUNDUP(ROUND((MAX($AI$3-AJ11,0)-(AM11))/($F11-1),6),0),ROUND((MAX($AI$3-AJ11,0)-(AM11))/($F11-1),0)),0),"")</f>
        <v/>
      </c>
      <c r="AO11" s="12" t="str">
        <f aca="false">IF($G11=1,IF(AND($E11&gt;=3,($F11-2)&gt;0),IF(AK11=1,ROUNDUP(ROUND((MAX($AI$3-AJ11,0)-(AM11+AN11))/($F11-2),6),0),ROUND((MAX($AI$3-AJ11,0)-(AM11+AN11))/($F11-2),0)),0),"")</f>
        <v/>
      </c>
      <c r="AP11" s="12" t="str">
        <f aca="false">IF($G11=1,IF(AND($E11&gt;=4,($F11-3)&gt;0),IF(AK11=1,ROUNDUP(ROUND((MAX($AI$3-AJ11,0)-(AM11+AN11+AO11))/($F11-3),6),0),ROUND((MAX($AI$3-AJ11,0)-(AM11+AN11+AO11))/($F11-3),0)),0),"")</f>
        <v/>
      </c>
      <c r="AQ11" s="12" t="str">
        <f aca="false">IF($G11=1,IF(AND($E11&gt;=5,($F11-4)&gt;0),IF(AK11=1,ROUNDUP(ROUND((MAX($AI$3-AJ11,0)-(AM11+AN11+AO11+AP11))/($F11-4),6),0),ROUND((MAX($AI$3-AJ11,0)-(AM11+AN11+AO11+AP11))/($F11-4),0)),0),"")</f>
        <v/>
      </c>
      <c r="AR11" s="12" t="str">
        <f aca="false">IF($G11=1,IF(AND($E11&gt;=1,($F11-0)&gt;0),ROUND((($AI$3-AL11)-(0))/($F11-0),0),0),"")</f>
        <v/>
      </c>
      <c r="AS11" s="12" t="str">
        <f aca="false">IF($G11=1,IF(AND($E11&gt;=2,($F11-1)&gt;0),ROUND((($AI$3-AL11)-(AR11))/($F11-1),0),0),"")</f>
        <v/>
      </c>
      <c r="AT11" s="12" t="str">
        <f aca="false">IF($G11=1,IF(AND($E11&gt;=3,($F11-2)&gt;0),ROUND((($AI$3-AL11)-(AR11+AS11))/($F11-2),0),0),"")</f>
        <v/>
      </c>
      <c r="AU11" s="12" t="str">
        <f aca="false">IF($G11=1,IF(AND($E11&gt;=4,($F11-3)&gt;0),ROUND((($AI$3-AL11)-(AR11+AS11+AT11))/($F11-3),0),0),"")</f>
        <v/>
      </c>
      <c r="AV11" s="12" t="str">
        <f aca="false">IF($G11=1,IF(AND($E11&gt;=5,($F11-4)&gt;0),ROUND((($AI$3-AL11)-(AR11+AS11+AT11+AU11))/($F11-4),0),0),"")</f>
        <v/>
      </c>
      <c r="AW11" s="12" t="n">
        <f aca="false">IF($A11="","",IF($G11=1,(AR11+AS11+AT11+AU11+AV11),AW10))</f>
        <v>40</v>
      </c>
      <c r="AX11" s="12" t="n">
        <f aca="false">IF($A11="","",IF($G11=1,IF('Base de Dados'!$B$7="Sim",(AM11+AN11+AO11+AP11+AQ11),MAX(AW11,(AM11+AN11+AO11+AP11+AQ11))),AX10))</f>
        <v>46</v>
      </c>
      <c r="AY11" s="12" t="n">
        <f aca="false">IF($A11="","",IF($G11=1,AW11,AY10-N(AZ10)))</f>
        <v>32</v>
      </c>
      <c r="AZ11" s="12" t="n">
        <f aca="false">IF($C11=1,ROUND(AY11/($E11-$D11+1),0),"")</f>
        <v>8</v>
      </c>
      <c r="BA11" s="12" t="n">
        <f aca="false">IF($C11&lt;&gt;1,"",IF('Base de Dados'!$B$7="Sim",IF(SUMIFS(AI$5:AI10,$B$5:$B10,$B11)&lt;SUMIFS(AZ$5:AZ10,$B$5:$B10,$B11)-0.000000001,ROUNDUP(ROUND(MAX(AX11-SUMIFS(AI$5:AI10,$B$5:$B10,$B11),0)/($E11-$D11+1),6),0),ROUND(MAX(AX11-SUMIFS(AI$5:AI10,$B$5:$B10,$B11),0)/($E11-$D11+1),0)),MAX(AZ11,IF(SUMIFS(AI$5:AI10,$B$5:$B10,$B11)&lt;SUMIFS(AZ$5:AZ10,$B$5:$B10,$B11)-0.000000001,ROUNDUP(ROUND(MAX(AX11-SUMIFS(AI$5:AI10,$B$5:$B10,$B11),0)/($E11-$D11+1),6),0),ROUND(MAX(AX11-SUMIFS(AI$5:AI10,$B$5:$B10,$B11),0)/($E11-$D11+1),0)))))</f>
        <v>12</v>
      </c>
      <c r="BB11" s="12" t="n">
        <f aca="false">IF($A11="",0,IF('Meta Diária'!M11&lt;&gt;"",'Meta Diária'!M11,IF(AND($C11=1,$A11&gt;='Base de Dados'!$B$6),BT11,0)))</f>
        <v>0</v>
      </c>
      <c r="BC11" s="12" t="n">
        <f aca="false">BC10+BB10</f>
        <v>0</v>
      </c>
      <c r="BD11" s="41" t="str">
        <f aca="false">IF($G11=1,IF(BC11&lt;BE11-0.000000001,1,0),"")</f>
        <v/>
      </c>
      <c r="BE11" s="12" t="str">
        <f aca="false">IF($G11=1,SUMIFS(BP$5:BP10,$G$5:$G10,1),"")</f>
        <v/>
      </c>
      <c r="BF11" s="12" t="str">
        <f aca="false">IF($G11=1,IF(AND($E11&gt;=1,($F11-0)&gt;0),IF(BD11=1,ROUNDUP(ROUND((MAX($BB$3-BC11,0)-(0))/($F11-0),6),0),ROUND((MAX($BB$3-BC11,0)-(0))/($F11-0),0)),0),"")</f>
        <v/>
      </c>
      <c r="BG11" s="12" t="str">
        <f aca="false">IF($G11=1,IF(AND($E11&gt;=2,($F11-1)&gt;0),IF(BD11=1,ROUNDUP(ROUND((MAX($BB$3-BC11,0)-(BF11))/($F11-1),6),0),ROUND((MAX($BB$3-BC11,0)-(BF11))/($F11-1),0)),0),"")</f>
        <v/>
      </c>
      <c r="BH11" s="12" t="str">
        <f aca="false">IF($G11=1,IF(AND($E11&gt;=3,($F11-2)&gt;0),IF(BD11=1,ROUNDUP(ROUND((MAX($BB$3-BC11,0)-(BF11+BG11))/($F11-2),6),0),ROUND((MAX($BB$3-BC11,0)-(BF11+BG11))/($F11-2),0)),0),"")</f>
        <v/>
      </c>
      <c r="BI11" s="12" t="str">
        <f aca="false">IF($G11=1,IF(AND($E11&gt;=4,($F11-3)&gt;0),IF(BD11=1,ROUNDUP(ROUND((MAX($BB$3-BC11,0)-(BF11+BG11+BH11))/($F11-3),6),0),ROUND((MAX($BB$3-BC11,0)-(BF11+BG11+BH11))/($F11-3),0)),0),"")</f>
        <v/>
      </c>
      <c r="BJ11" s="12" t="str">
        <f aca="false">IF($G11=1,IF(AND($E11&gt;=5,($F11-4)&gt;0),IF(BD11=1,ROUNDUP(ROUND((MAX($BB$3-BC11,0)-(BF11+BG11+BH11+BI11))/($F11-4),6),0),ROUND((MAX($BB$3-BC11,0)-(BF11+BG11+BH11+BI11))/($F11-4),0)),0),"")</f>
        <v/>
      </c>
      <c r="BK11" s="12" t="str">
        <f aca="false">IF($G11=1,IF(AND($E11&gt;=1,($F11-0)&gt;0),ROUND((($BB$3-BE11)-(0))/($F11-0),0),0),"")</f>
        <v/>
      </c>
      <c r="BL11" s="12" t="str">
        <f aca="false">IF($G11=1,IF(AND($E11&gt;=2,($F11-1)&gt;0),ROUND((($BB$3-BE11)-(BK11))/($F11-1),0),0),"")</f>
        <v/>
      </c>
      <c r="BM11" s="12" t="str">
        <f aca="false">IF($G11=1,IF(AND($E11&gt;=3,($F11-2)&gt;0),ROUND((($BB$3-BE11)-(BK11+BL11))/($F11-2),0),0),"")</f>
        <v/>
      </c>
      <c r="BN11" s="12" t="str">
        <f aca="false">IF($G11=1,IF(AND($E11&gt;=4,($F11-3)&gt;0),ROUND((($BB$3-BE11)-(BK11+BL11+BM11))/($F11-3),0),0),"")</f>
        <v/>
      </c>
      <c r="BO11" s="12" t="str">
        <f aca="false">IF($G11=1,IF(AND($E11&gt;=5,($F11-4)&gt;0),ROUND((($BB$3-BE11)-(BK11+BL11+BM11+BN11))/($F11-4),0),0),"")</f>
        <v/>
      </c>
      <c r="BP11" s="12" t="n">
        <f aca="false">IF($A11="","",IF($G11=1,(BK11+BL11+BM11+BN11+BO11),BP10))</f>
        <v>25</v>
      </c>
      <c r="BQ11" s="12" t="n">
        <f aca="false">IF($A11="","",IF($G11=1,IF('Base de Dados'!$B$7="Sim",(BF11+BG11+BH11+BI11+BJ11),MAX(BP11,(BF11+BG11+BH11+BI11+BJ11))),BQ10))</f>
        <v>30</v>
      </c>
      <c r="BR11" s="12" t="n">
        <f aca="false">IF($A11="","",IF($G11=1,BP11,BR10-N(BS10)))</f>
        <v>20</v>
      </c>
      <c r="BS11" s="12" t="n">
        <f aca="false">IF($C11=1,ROUND(BR11/($E11-$D11+1),0),"")</f>
        <v>5</v>
      </c>
      <c r="BT11" s="12" t="n">
        <f aca="false">IF($C11&lt;&gt;1,"",IF('Base de Dados'!$B$7="Sim",IF(SUMIFS(BB$5:BB10,$B$5:$B10,$B11)&lt;SUMIFS(BS$5:BS10,$B$5:$B10,$B11)-0.000000001,ROUNDUP(ROUND(MAX(BQ11-SUMIFS(BB$5:BB10,$B$5:$B10,$B11),0)/($E11-$D11+1),6),0),ROUND(MAX(BQ11-SUMIFS(BB$5:BB10,$B$5:$B10,$B11),0)/($E11-$D11+1),0)),MAX(BS11,IF(SUMIFS(BB$5:BB10,$B$5:$B10,$B11)&lt;SUMIFS(BS$5:BS10,$B$5:$B10,$B11)-0.000000001,ROUNDUP(ROUND(MAX(BQ11-SUMIFS(BB$5:BB10,$B$5:$B10,$B11),0)/($E11-$D11+1),6),0),ROUND(MAX(BQ11-SUMIFS(BB$5:BB10,$B$5:$B10,$B11),0)/($E11-$D11+1),0)))))</f>
        <v>8</v>
      </c>
      <c r="BU11" s="12" t="n">
        <f aca="false">IF($A11="",0,IF('Meta Diária'!O11&lt;&gt;"",'Meta Diária'!O11,IF(AND($C11=1,$A11&gt;='Base de Dados'!$B$6),CM11,0)))</f>
        <v>0</v>
      </c>
      <c r="BV11" s="12" t="n">
        <f aca="false">BV10+BU10</f>
        <v>0</v>
      </c>
      <c r="BW11" s="41" t="str">
        <f aca="false">IF($G11=1,IF(BV11&lt;BX11-0.000000001,1,0),"")</f>
        <v/>
      </c>
      <c r="BX11" s="12" t="str">
        <f aca="false">IF($G11=1,SUMIFS(CI$5:CI10,$G$5:$G10,1),"")</f>
        <v/>
      </c>
      <c r="BY11" s="12" t="str">
        <f aca="false">IF($G11=1,IF(AND($E11&gt;=1,($F11-0)&gt;0),IF(BW11=1,ROUNDUP(ROUND((MAX($BU$3-BV11,0)-(0))/($F11-0),6),0),ROUND((MAX($BU$3-BV11,0)-(0))/($F11-0),0)),0),"")</f>
        <v/>
      </c>
      <c r="BZ11" s="12" t="str">
        <f aca="false">IF($G11=1,IF(AND($E11&gt;=2,($F11-1)&gt;0),IF(BW11=1,ROUNDUP(ROUND((MAX($BU$3-BV11,0)-(BY11))/($F11-1),6),0),ROUND((MAX($BU$3-BV11,0)-(BY11))/($F11-1),0)),0),"")</f>
        <v/>
      </c>
      <c r="CA11" s="12" t="str">
        <f aca="false">IF($G11=1,IF(AND($E11&gt;=3,($F11-2)&gt;0),IF(BW11=1,ROUNDUP(ROUND((MAX($BU$3-BV11,0)-(BY11+BZ11))/($F11-2),6),0),ROUND((MAX($BU$3-BV11,0)-(BY11+BZ11))/($F11-2),0)),0),"")</f>
        <v/>
      </c>
      <c r="CB11" s="12" t="str">
        <f aca="false">IF($G11=1,IF(AND($E11&gt;=4,($F11-3)&gt;0),IF(BW11=1,ROUNDUP(ROUND((MAX($BU$3-BV11,0)-(BY11+BZ11+CA11))/($F11-3),6),0),ROUND((MAX($BU$3-BV11,0)-(BY11+BZ11+CA11))/($F11-3),0)),0),"")</f>
        <v/>
      </c>
      <c r="CC11" s="12" t="str">
        <f aca="false">IF($G11=1,IF(AND($E11&gt;=5,($F11-4)&gt;0),IF(BW11=1,ROUNDUP(ROUND((MAX($BU$3-BV11,0)-(BY11+BZ11+CA11+CB11))/($F11-4),6),0),ROUND((MAX($BU$3-BV11,0)-(BY11+BZ11+CA11+CB11))/($F11-4),0)),0),"")</f>
        <v/>
      </c>
      <c r="CD11" s="12" t="str">
        <f aca="false">IF($G11=1,IF(AND($E11&gt;=1,($F11-0)&gt;0),ROUND((($BU$3-BX11)-(0))/($F11-0),0),0),"")</f>
        <v/>
      </c>
      <c r="CE11" s="12" t="str">
        <f aca="false">IF($G11=1,IF(AND($E11&gt;=2,($F11-1)&gt;0),ROUND((($BU$3-BX11)-(CD11))/($F11-1),0),0),"")</f>
        <v/>
      </c>
      <c r="CF11" s="12" t="str">
        <f aca="false">IF($G11=1,IF(AND($E11&gt;=3,($F11-2)&gt;0),ROUND((($BU$3-BX11)-(CD11+CE11))/($F11-2),0),0),"")</f>
        <v/>
      </c>
      <c r="CG11" s="12" t="str">
        <f aca="false">IF($G11=1,IF(AND($E11&gt;=4,($F11-3)&gt;0),ROUND((($BU$3-BX11)-(CD11+CE11+CF11))/($F11-3),0),0),"")</f>
        <v/>
      </c>
      <c r="CH11" s="12" t="str">
        <f aca="false">IF($G11=1,IF(AND($E11&gt;=5,($F11-4)&gt;0),ROUND((($BU$3-BX11)-(CD11+CE11+CF11+CG11))/($F11-4),0),0),"")</f>
        <v/>
      </c>
      <c r="CI11" s="12" t="n">
        <f aca="false">IF($A11="","",IF($G11=1,(CD11+CE11+CF11+CG11+CH11),CI10))</f>
        <v>7</v>
      </c>
      <c r="CJ11" s="12" t="n">
        <f aca="false">IF($A11="","",IF($G11=1,IF('Base de Dados'!$B$7="Sim",(BY11+BZ11+CA11+CB11+CC11),MAX(CI11,(BY11+BZ11+CA11+CB11+CC11))),CJ10))</f>
        <v>10</v>
      </c>
      <c r="CK11" s="12" t="n">
        <f aca="false">IF($A11="","",IF($G11=1,CI11,CK10-N(CL10)))</f>
        <v>6</v>
      </c>
      <c r="CL11" s="12" t="n">
        <f aca="false">IF($C11=1,ROUND(CK11/($E11-$D11+1),0),"")</f>
        <v>2</v>
      </c>
      <c r="CM11" s="12" t="n">
        <f aca="false">IF($C11&lt;&gt;1,"",IF('Base de Dados'!$B$7="Sim",IF(SUMIFS(BU$5:BU10,$B$5:$B10,$B11)&lt;SUMIFS(CL$5:CL10,$B$5:$B10,$B11)-0.000000001,ROUNDUP(ROUND(MAX(CJ11-SUMIFS(BU$5:BU10,$B$5:$B10,$B11),0)/($E11-$D11+1),6),0),ROUND(MAX(CJ11-SUMIFS(BU$5:BU10,$B$5:$B10,$B11),0)/($E11-$D11+1),0)),MAX(CL11,IF(SUMIFS(BU$5:BU10,$B$5:$B10,$B11)&lt;SUMIFS(CL$5:CL10,$B$5:$B10,$B11)-0.000000001,ROUNDUP(ROUND(MAX(CJ11-SUMIFS(BU$5:BU10,$B$5:$B10,$B11),0)/($E11-$D11+1),6),0),ROUND(MAX(CJ11-SUMIFS(BU$5:BU10,$B$5:$B10,$B11),0)/($E11-$D11+1),0)))))</f>
        <v>3</v>
      </c>
    </row>
    <row r="12" customFormat="false" ht="15" hidden="false" customHeight="false" outlineLevel="0" collapsed="false">
      <c r="A12" s="7" t="n">
        <f aca="false">IF($E$2+6&lt;=EOMONTH($E$2,0),$E$2+6,"")</f>
        <v>46302</v>
      </c>
      <c r="B12" s="41" t="n">
        <f aca="false">IF(A12="","",IF(COUNTIFS(H$6:H$36,H12,C$6:C$36,1)=0,"",IF(H12=H11,B11,1+MAX(B$5:B11))))</f>
        <v>2</v>
      </c>
      <c r="C12" s="41" t="n">
        <f aca="false">IF(A12="",0,IF(AND(WEEKDAY(A12,2)&lt;=5,COUNTIF(Folgas!$A$5:$A$300,A12)=0),1,0))</f>
        <v>1</v>
      </c>
      <c r="D12" s="41" t="n">
        <f aca="false">IF(C12=1,COUNTIFS(B$6:B12,B12,C$6:C12,1),0)</f>
        <v>3</v>
      </c>
      <c r="E12" s="41" t="n">
        <f aca="false">IF(OR(A12="",B12=""),0,COUNTIFS(B$6:B$36,B12,C$6:C$36,1))</f>
        <v>5</v>
      </c>
      <c r="F12" s="41" t="n">
        <f aca="false">IF(OR(A12="",B12=""),0,COUNTIFS(B$6:B$36,"&gt;="&amp;B12,C$6:C$36,1))</f>
        <v>19</v>
      </c>
      <c r="G12" s="41" t="n">
        <f aca="false">IF(OR(A12="",B12=""),0,IF(B12=B11,0,1))</f>
        <v>0</v>
      </c>
      <c r="H12" s="41" t="n">
        <f aca="false">IF(A12="","",INT((A12-$E$3)/7)+1)</f>
        <v>2</v>
      </c>
      <c r="J12" s="13" t="n">
        <f aca="false">IF($A12="",0,IF('Meta Diária'!G12&lt;&gt;"",'Meta Diária'!G12,IF(AND($C12=1,$A12&gt;='Base de Dados'!$B$6),O12,0)))</f>
        <v>0</v>
      </c>
      <c r="K12" s="13" t="n">
        <f aca="false">K11+J11</f>
        <v>0</v>
      </c>
      <c r="L12" s="13" t="n">
        <f aca="false">IF($A12="","",IF($G12=1,IF($B$2=0,0,$J$3*$E12/$B$2),L11))</f>
        <v>7142.85714285714</v>
      </c>
      <c r="M12" s="13" t="n">
        <f aca="false">IF($A12="","",IF($G12=1,IF('Base de Dados'!$B$7="Sim",IF($F12=0,0,MAX($J$3-K12,0)*$E12/$F12),MAX(L12,IF($F12=0,0,MAX($J$3-K12,0)*$E12/$F12))),M11))</f>
        <v>7894.73684210526</v>
      </c>
      <c r="N12" s="13" t="n">
        <f aca="false">IF($C12=1,M12/$E12,"")</f>
        <v>1578.94736842105</v>
      </c>
      <c r="O12" s="13" t="n">
        <f aca="false">IF($C12&lt;&gt;1,"",IF('Base de Dados'!$B$7="Sim",MAX(M12-SUMIFS(J$5:J11,$B$5:$B11,$B12),0)/($E12-$D12+1),MAX(N12,MAX(M12-SUMIFS(J$5:J11,$B$5:$B11,$B12),0)/($E12-$D12+1))))</f>
        <v>2631.57894736842</v>
      </c>
      <c r="P12" s="12" t="n">
        <f aca="false">IF($A12="",0,IF('Meta Diária'!I12&lt;&gt;"",'Meta Diária'!I12,IF(AND($C12=1,$A12&gt;='Base de Dados'!$B$6),AH12,0)))</f>
        <v>0</v>
      </c>
      <c r="Q12" s="12" t="n">
        <f aca="false">Q11+P11</f>
        <v>0</v>
      </c>
      <c r="R12" s="41" t="str">
        <f aca="false">IF($G12=1,IF(Q12&lt;S12-0.000000001,1,0),"")</f>
        <v/>
      </c>
      <c r="S12" s="12" t="str">
        <f aca="false">IF($G12=1,SUMIFS(AD$5:AD11,$G$5:$G11,1),"")</f>
        <v/>
      </c>
      <c r="T12" s="12" t="str">
        <f aca="false">IF($G12=1,IF(AND($E12&gt;=1,($F12-0)&gt;0),IF(R12=1,ROUNDUP(ROUND((MAX($P$3-Q12,0)-(0))/($F12-0),6),0),ROUND((MAX($P$3-Q12,0)-(0))/($F12-0),0)),0),"")</f>
        <v/>
      </c>
      <c r="U12" s="12" t="str">
        <f aca="false">IF($G12=1,IF(AND($E12&gt;=2,($F12-1)&gt;0),IF(R12=1,ROUNDUP(ROUND((MAX($P$3-Q12,0)-(T12))/($F12-1),6),0),ROUND((MAX($P$3-Q12,0)-(T12))/($F12-1),0)),0),"")</f>
        <v/>
      </c>
      <c r="V12" s="12" t="str">
        <f aca="false">IF($G12=1,IF(AND($E12&gt;=3,($F12-2)&gt;0),IF(R12=1,ROUNDUP(ROUND((MAX($P$3-Q12,0)-(T12+U12))/($F12-2),6),0),ROUND((MAX($P$3-Q12,0)-(T12+U12))/($F12-2),0)),0),"")</f>
        <v/>
      </c>
      <c r="W12" s="12" t="str">
        <f aca="false">IF($G12=1,IF(AND($E12&gt;=4,($F12-3)&gt;0),IF(R12=1,ROUNDUP(ROUND((MAX($P$3-Q12,0)-(T12+U12+V12))/($F12-3),6),0),ROUND((MAX($P$3-Q12,0)-(T12+U12+V12))/($F12-3),0)),0),"")</f>
        <v/>
      </c>
      <c r="X12" s="12" t="str">
        <f aca="false">IF($G12=1,IF(AND($E12&gt;=5,($F12-4)&gt;0),IF(R12=1,ROUNDUP(ROUND((MAX($P$3-Q12,0)-(T12+U12+V12+W12))/($F12-4),6),0),ROUND((MAX($P$3-Q12,0)-(T12+U12+V12+W12))/($F12-4),0)),0),"")</f>
        <v/>
      </c>
      <c r="Y12" s="12" t="str">
        <f aca="false">IF($G12=1,IF(AND($E12&gt;=1,($F12-0)&gt;0),ROUND((($P$3-S12)-(0))/($F12-0),0),0),"")</f>
        <v/>
      </c>
      <c r="Z12" s="12" t="str">
        <f aca="false">IF($G12=1,IF(AND($E12&gt;=2,($F12-1)&gt;0),ROUND((($P$3-S12)-(Y12))/($F12-1),0),0),"")</f>
        <v/>
      </c>
      <c r="AA12" s="12" t="str">
        <f aca="false">IF($G12=1,IF(AND($E12&gt;=3,($F12-2)&gt;0),ROUND((($P$3-S12)-(Y12+Z12))/($F12-2),0),0),"")</f>
        <v/>
      </c>
      <c r="AB12" s="12" t="str">
        <f aca="false">IF($G12=1,IF(AND($E12&gt;=4,($F12-3)&gt;0),ROUND((($P$3-S12)-(Y12+Z12+AA12))/($F12-3),0),0),"")</f>
        <v/>
      </c>
      <c r="AC12" s="12" t="str">
        <f aca="false">IF($G12=1,IF(AND($E12&gt;=5,($F12-4)&gt;0),ROUND((($P$3-S12)-(Y12+Z12+AA12+AB12))/($F12-4),0),0),"")</f>
        <v/>
      </c>
      <c r="AD12" s="12" t="n">
        <f aca="false">IF($A12="","",IF($G12=1,(Y12+Z12+AA12+AB12+AC12),AD11))</f>
        <v>205</v>
      </c>
      <c r="AE12" s="12" t="n">
        <f aca="false">IF($A12="","",IF($G12=1,IF('Base de Dados'!$B$7="Sim",(T12+U12+V12+W12+X12),MAX(AD12,(T12+U12+V12+W12+X12))),AE11))</f>
        <v>228</v>
      </c>
      <c r="AF12" s="12" t="n">
        <f aca="false">IF($A12="","",IF($G12=1,AD12,AF11-N(AG11)))</f>
        <v>123</v>
      </c>
      <c r="AG12" s="12" t="n">
        <f aca="false">IF($C12=1,ROUND(AF12/($E12-$D12+1),0),"")</f>
        <v>41</v>
      </c>
      <c r="AH12" s="12" t="n">
        <f aca="false">IF($C12&lt;&gt;1,"",IF('Base de Dados'!$B$7="Sim",IF(SUMIFS(P$5:P11,$B$5:$B11,$B12)&lt;SUMIFS(AG$5:AG11,$B$5:$B11,$B12)-0.000000001,ROUNDUP(ROUND(MAX(AE12-SUMIFS(P$5:P11,$B$5:$B11,$B12),0)/($E12-$D12+1),6),0),ROUND(MAX(AE12-SUMIFS(P$5:P11,$B$5:$B11,$B12),0)/($E12-$D12+1),0)),MAX(AG12,IF(SUMIFS(P$5:P11,$B$5:$B11,$B12)&lt;SUMIFS(AG$5:AG11,$B$5:$B11,$B12)-0.000000001,ROUNDUP(ROUND(MAX(AE12-SUMIFS(P$5:P11,$B$5:$B11,$B12),0)/($E12-$D12+1),6),0),ROUND(MAX(AE12-SUMIFS(P$5:P11,$B$5:$B11,$B12),0)/($E12-$D12+1),0)))))</f>
        <v>76</v>
      </c>
      <c r="AI12" s="12" t="n">
        <f aca="false">IF($A12="",0,IF('Meta Diária'!K12&lt;&gt;"",'Meta Diária'!K12,IF(AND($C12=1,$A12&gt;='Base de Dados'!$B$6),BA12,0)))</f>
        <v>0</v>
      </c>
      <c r="AJ12" s="12" t="n">
        <f aca="false">AJ11+AI11</f>
        <v>0</v>
      </c>
      <c r="AK12" s="41" t="str">
        <f aca="false">IF($G12=1,IF(AJ12&lt;AL12-0.000000001,1,0),"")</f>
        <v/>
      </c>
      <c r="AL12" s="12" t="str">
        <f aca="false">IF($G12=1,SUMIFS(AW$5:AW11,$G$5:$G11,1),"")</f>
        <v/>
      </c>
      <c r="AM12" s="12" t="str">
        <f aca="false">IF($G12=1,IF(AND($E12&gt;=1,($F12-0)&gt;0),IF(AK12=1,ROUNDUP(ROUND((MAX($AI$3-AJ12,0)-(0))/($F12-0),6),0),ROUND((MAX($AI$3-AJ12,0)-(0))/($F12-0),0)),0),"")</f>
        <v/>
      </c>
      <c r="AN12" s="12" t="str">
        <f aca="false">IF($G12=1,IF(AND($E12&gt;=2,($F12-1)&gt;0),IF(AK12=1,ROUNDUP(ROUND((MAX($AI$3-AJ12,0)-(AM12))/($F12-1),6),0),ROUND((MAX($AI$3-AJ12,0)-(AM12))/($F12-1),0)),0),"")</f>
        <v/>
      </c>
      <c r="AO12" s="12" t="str">
        <f aca="false">IF($G12=1,IF(AND($E12&gt;=3,($F12-2)&gt;0),IF(AK12=1,ROUNDUP(ROUND((MAX($AI$3-AJ12,0)-(AM12+AN12))/($F12-2),6),0),ROUND((MAX($AI$3-AJ12,0)-(AM12+AN12))/($F12-2),0)),0),"")</f>
        <v/>
      </c>
      <c r="AP12" s="12" t="str">
        <f aca="false">IF($G12=1,IF(AND($E12&gt;=4,($F12-3)&gt;0),IF(AK12=1,ROUNDUP(ROUND((MAX($AI$3-AJ12,0)-(AM12+AN12+AO12))/($F12-3),6),0),ROUND((MAX($AI$3-AJ12,0)-(AM12+AN12+AO12))/($F12-3),0)),0),"")</f>
        <v/>
      </c>
      <c r="AQ12" s="12" t="str">
        <f aca="false">IF($G12=1,IF(AND($E12&gt;=5,($F12-4)&gt;0),IF(AK12=1,ROUNDUP(ROUND((MAX($AI$3-AJ12,0)-(AM12+AN12+AO12+AP12))/($F12-4),6),0),ROUND((MAX($AI$3-AJ12,0)-(AM12+AN12+AO12+AP12))/($F12-4),0)),0),"")</f>
        <v/>
      </c>
      <c r="AR12" s="12" t="str">
        <f aca="false">IF($G12=1,IF(AND($E12&gt;=1,($F12-0)&gt;0),ROUND((($AI$3-AL12)-(0))/($F12-0),0),0),"")</f>
        <v/>
      </c>
      <c r="AS12" s="12" t="str">
        <f aca="false">IF($G12=1,IF(AND($E12&gt;=2,($F12-1)&gt;0),ROUND((($AI$3-AL12)-(AR12))/($F12-1),0),0),"")</f>
        <v/>
      </c>
      <c r="AT12" s="12" t="str">
        <f aca="false">IF($G12=1,IF(AND($E12&gt;=3,($F12-2)&gt;0),ROUND((($AI$3-AL12)-(AR12+AS12))/($F12-2),0),0),"")</f>
        <v/>
      </c>
      <c r="AU12" s="12" t="str">
        <f aca="false">IF($G12=1,IF(AND($E12&gt;=4,($F12-3)&gt;0),ROUND((($AI$3-AL12)-(AR12+AS12+AT12))/($F12-3),0),0),"")</f>
        <v/>
      </c>
      <c r="AV12" s="12" t="str">
        <f aca="false">IF($G12=1,IF(AND($E12&gt;=5,($F12-4)&gt;0),ROUND((($AI$3-AL12)-(AR12+AS12+AT12+AU12))/($F12-4),0),0),"")</f>
        <v/>
      </c>
      <c r="AW12" s="12" t="n">
        <f aca="false">IF($A12="","",IF($G12=1,(AR12+AS12+AT12+AU12+AV12),AW11))</f>
        <v>40</v>
      </c>
      <c r="AX12" s="12" t="n">
        <f aca="false">IF($A12="","",IF($G12=1,IF('Base de Dados'!$B$7="Sim",(AM12+AN12+AO12+AP12+AQ12),MAX(AW12,(AM12+AN12+AO12+AP12+AQ12))),AX11))</f>
        <v>46</v>
      </c>
      <c r="AY12" s="12" t="n">
        <f aca="false">IF($A12="","",IF($G12=1,AW12,AY11-N(AZ11)))</f>
        <v>24</v>
      </c>
      <c r="AZ12" s="12" t="n">
        <f aca="false">IF($C12=1,ROUND(AY12/($E12-$D12+1),0),"")</f>
        <v>8</v>
      </c>
      <c r="BA12" s="12" t="n">
        <f aca="false">IF($C12&lt;&gt;1,"",IF('Base de Dados'!$B$7="Sim",IF(SUMIFS(AI$5:AI11,$B$5:$B11,$B12)&lt;SUMIFS(AZ$5:AZ11,$B$5:$B11,$B12)-0.000000001,ROUNDUP(ROUND(MAX(AX12-SUMIFS(AI$5:AI11,$B$5:$B11,$B12),0)/($E12-$D12+1),6),0),ROUND(MAX(AX12-SUMIFS(AI$5:AI11,$B$5:$B11,$B12),0)/($E12-$D12+1),0)),MAX(AZ12,IF(SUMIFS(AI$5:AI11,$B$5:$B11,$B12)&lt;SUMIFS(AZ$5:AZ11,$B$5:$B11,$B12)-0.000000001,ROUNDUP(ROUND(MAX(AX12-SUMIFS(AI$5:AI11,$B$5:$B11,$B12),0)/($E12-$D12+1),6),0),ROUND(MAX(AX12-SUMIFS(AI$5:AI11,$B$5:$B11,$B12),0)/($E12-$D12+1),0)))))</f>
        <v>16</v>
      </c>
      <c r="BB12" s="12" t="n">
        <f aca="false">IF($A12="",0,IF('Meta Diária'!M12&lt;&gt;"",'Meta Diária'!M12,IF(AND($C12=1,$A12&gt;='Base de Dados'!$B$6),BT12,0)))</f>
        <v>0</v>
      </c>
      <c r="BC12" s="12" t="n">
        <f aca="false">BC11+BB11</f>
        <v>0</v>
      </c>
      <c r="BD12" s="41" t="str">
        <f aca="false">IF($G12=1,IF(BC12&lt;BE12-0.000000001,1,0),"")</f>
        <v/>
      </c>
      <c r="BE12" s="12" t="str">
        <f aca="false">IF($G12=1,SUMIFS(BP$5:BP11,$G$5:$G11,1),"")</f>
        <v/>
      </c>
      <c r="BF12" s="12" t="str">
        <f aca="false">IF($G12=1,IF(AND($E12&gt;=1,($F12-0)&gt;0),IF(BD12=1,ROUNDUP(ROUND((MAX($BB$3-BC12,0)-(0))/($F12-0),6),0),ROUND((MAX($BB$3-BC12,0)-(0))/($F12-0),0)),0),"")</f>
        <v/>
      </c>
      <c r="BG12" s="12" t="str">
        <f aca="false">IF($G12=1,IF(AND($E12&gt;=2,($F12-1)&gt;0),IF(BD12=1,ROUNDUP(ROUND((MAX($BB$3-BC12,0)-(BF12))/($F12-1),6),0),ROUND((MAX($BB$3-BC12,0)-(BF12))/($F12-1),0)),0),"")</f>
        <v/>
      </c>
      <c r="BH12" s="12" t="str">
        <f aca="false">IF($G12=1,IF(AND($E12&gt;=3,($F12-2)&gt;0),IF(BD12=1,ROUNDUP(ROUND((MAX($BB$3-BC12,0)-(BF12+BG12))/($F12-2),6),0),ROUND((MAX($BB$3-BC12,0)-(BF12+BG12))/($F12-2),0)),0),"")</f>
        <v/>
      </c>
      <c r="BI12" s="12" t="str">
        <f aca="false">IF($G12=1,IF(AND($E12&gt;=4,($F12-3)&gt;0),IF(BD12=1,ROUNDUP(ROUND((MAX($BB$3-BC12,0)-(BF12+BG12+BH12))/($F12-3),6),0),ROUND((MAX($BB$3-BC12,0)-(BF12+BG12+BH12))/($F12-3),0)),0),"")</f>
        <v/>
      </c>
      <c r="BJ12" s="12" t="str">
        <f aca="false">IF($G12=1,IF(AND($E12&gt;=5,($F12-4)&gt;0),IF(BD12=1,ROUNDUP(ROUND((MAX($BB$3-BC12,0)-(BF12+BG12+BH12+BI12))/($F12-4),6),0),ROUND((MAX($BB$3-BC12,0)-(BF12+BG12+BH12+BI12))/($F12-4),0)),0),"")</f>
        <v/>
      </c>
      <c r="BK12" s="12" t="str">
        <f aca="false">IF($G12=1,IF(AND($E12&gt;=1,($F12-0)&gt;0),ROUND((($BB$3-BE12)-(0))/($F12-0),0),0),"")</f>
        <v/>
      </c>
      <c r="BL12" s="12" t="str">
        <f aca="false">IF($G12=1,IF(AND($E12&gt;=2,($F12-1)&gt;0),ROUND((($BB$3-BE12)-(BK12))/($F12-1),0),0),"")</f>
        <v/>
      </c>
      <c r="BM12" s="12" t="str">
        <f aca="false">IF($G12=1,IF(AND($E12&gt;=3,($F12-2)&gt;0),ROUND((($BB$3-BE12)-(BK12+BL12))/($F12-2),0),0),"")</f>
        <v/>
      </c>
      <c r="BN12" s="12" t="str">
        <f aca="false">IF($G12=1,IF(AND($E12&gt;=4,($F12-3)&gt;0),ROUND((($BB$3-BE12)-(BK12+BL12+BM12))/($F12-3),0),0),"")</f>
        <v/>
      </c>
      <c r="BO12" s="12" t="str">
        <f aca="false">IF($G12=1,IF(AND($E12&gt;=5,($F12-4)&gt;0),ROUND((($BB$3-BE12)-(BK12+BL12+BM12+BN12))/($F12-4),0),0),"")</f>
        <v/>
      </c>
      <c r="BP12" s="12" t="n">
        <f aca="false">IF($A12="","",IF($G12=1,(BK12+BL12+BM12+BN12+BO12),BP11))</f>
        <v>25</v>
      </c>
      <c r="BQ12" s="12" t="n">
        <f aca="false">IF($A12="","",IF($G12=1,IF('Base de Dados'!$B$7="Sim",(BF12+BG12+BH12+BI12+BJ12),MAX(BP12,(BF12+BG12+BH12+BI12+BJ12))),BQ11))</f>
        <v>30</v>
      </c>
      <c r="BR12" s="12" t="n">
        <f aca="false">IF($A12="","",IF($G12=1,BP12,BR11-N(BS11)))</f>
        <v>15</v>
      </c>
      <c r="BS12" s="12" t="n">
        <f aca="false">IF($C12=1,ROUND(BR12/($E12-$D12+1),0),"")</f>
        <v>5</v>
      </c>
      <c r="BT12" s="12" t="n">
        <f aca="false">IF($C12&lt;&gt;1,"",IF('Base de Dados'!$B$7="Sim",IF(SUMIFS(BB$5:BB11,$B$5:$B11,$B12)&lt;SUMIFS(BS$5:BS11,$B$5:$B11,$B12)-0.000000001,ROUNDUP(ROUND(MAX(BQ12-SUMIFS(BB$5:BB11,$B$5:$B11,$B12),0)/($E12-$D12+1),6),0),ROUND(MAX(BQ12-SUMIFS(BB$5:BB11,$B$5:$B11,$B12),0)/($E12-$D12+1),0)),MAX(BS12,IF(SUMIFS(BB$5:BB11,$B$5:$B11,$B12)&lt;SUMIFS(BS$5:BS11,$B$5:$B11,$B12)-0.000000001,ROUNDUP(ROUND(MAX(BQ12-SUMIFS(BB$5:BB11,$B$5:$B11,$B12),0)/($E12-$D12+1),6),0),ROUND(MAX(BQ12-SUMIFS(BB$5:BB11,$B$5:$B11,$B12),0)/($E12-$D12+1),0)))))</f>
        <v>10</v>
      </c>
      <c r="BU12" s="12" t="n">
        <f aca="false">IF($A12="",0,IF('Meta Diária'!O12&lt;&gt;"",'Meta Diária'!O12,IF(AND($C12=1,$A12&gt;='Base de Dados'!$B$6),CM12,0)))</f>
        <v>0</v>
      </c>
      <c r="BV12" s="12" t="n">
        <f aca="false">BV11+BU11</f>
        <v>0</v>
      </c>
      <c r="BW12" s="41" t="str">
        <f aca="false">IF($G12=1,IF(BV12&lt;BX12-0.000000001,1,0),"")</f>
        <v/>
      </c>
      <c r="BX12" s="12" t="str">
        <f aca="false">IF($G12=1,SUMIFS(CI$5:CI11,$G$5:$G11,1),"")</f>
        <v/>
      </c>
      <c r="BY12" s="12" t="str">
        <f aca="false">IF($G12=1,IF(AND($E12&gt;=1,($F12-0)&gt;0),IF(BW12=1,ROUNDUP(ROUND((MAX($BU$3-BV12,0)-(0))/($F12-0),6),0),ROUND((MAX($BU$3-BV12,0)-(0))/($F12-0),0)),0),"")</f>
        <v/>
      </c>
      <c r="BZ12" s="12" t="str">
        <f aca="false">IF($G12=1,IF(AND($E12&gt;=2,($F12-1)&gt;0),IF(BW12=1,ROUNDUP(ROUND((MAX($BU$3-BV12,0)-(BY12))/($F12-1),6),0),ROUND((MAX($BU$3-BV12,0)-(BY12))/($F12-1),0)),0),"")</f>
        <v/>
      </c>
      <c r="CA12" s="12" t="str">
        <f aca="false">IF($G12=1,IF(AND($E12&gt;=3,($F12-2)&gt;0),IF(BW12=1,ROUNDUP(ROUND((MAX($BU$3-BV12,0)-(BY12+BZ12))/($F12-2),6),0),ROUND((MAX($BU$3-BV12,0)-(BY12+BZ12))/($F12-2),0)),0),"")</f>
        <v/>
      </c>
      <c r="CB12" s="12" t="str">
        <f aca="false">IF($G12=1,IF(AND($E12&gt;=4,($F12-3)&gt;0),IF(BW12=1,ROUNDUP(ROUND((MAX($BU$3-BV12,0)-(BY12+BZ12+CA12))/($F12-3),6),0),ROUND((MAX($BU$3-BV12,0)-(BY12+BZ12+CA12))/($F12-3),0)),0),"")</f>
        <v/>
      </c>
      <c r="CC12" s="12" t="str">
        <f aca="false">IF($G12=1,IF(AND($E12&gt;=5,($F12-4)&gt;0),IF(BW12=1,ROUNDUP(ROUND((MAX($BU$3-BV12,0)-(BY12+BZ12+CA12+CB12))/($F12-4),6),0),ROUND((MAX($BU$3-BV12,0)-(BY12+BZ12+CA12+CB12))/($F12-4),0)),0),"")</f>
        <v/>
      </c>
      <c r="CD12" s="12" t="str">
        <f aca="false">IF($G12=1,IF(AND($E12&gt;=1,($F12-0)&gt;0),ROUND((($BU$3-BX12)-(0))/($F12-0),0),0),"")</f>
        <v/>
      </c>
      <c r="CE12" s="12" t="str">
        <f aca="false">IF($G12=1,IF(AND($E12&gt;=2,($F12-1)&gt;0),ROUND((($BU$3-BX12)-(CD12))/($F12-1),0),0),"")</f>
        <v/>
      </c>
      <c r="CF12" s="12" t="str">
        <f aca="false">IF($G12=1,IF(AND($E12&gt;=3,($F12-2)&gt;0),ROUND((($BU$3-BX12)-(CD12+CE12))/($F12-2),0),0),"")</f>
        <v/>
      </c>
      <c r="CG12" s="12" t="str">
        <f aca="false">IF($G12=1,IF(AND($E12&gt;=4,($F12-3)&gt;0),ROUND((($BU$3-BX12)-(CD12+CE12+CF12))/($F12-3),0),0),"")</f>
        <v/>
      </c>
      <c r="CH12" s="12" t="str">
        <f aca="false">IF($G12=1,IF(AND($E12&gt;=5,($F12-4)&gt;0),ROUND((($BU$3-BX12)-(CD12+CE12+CF12+CG12))/($F12-4),0),0),"")</f>
        <v/>
      </c>
      <c r="CI12" s="12" t="n">
        <f aca="false">IF($A12="","",IF($G12=1,(CD12+CE12+CF12+CG12+CH12),CI11))</f>
        <v>7</v>
      </c>
      <c r="CJ12" s="12" t="n">
        <f aca="false">IF($A12="","",IF($G12=1,IF('Base de Dados'!$B$7="Sim",(BY12+BZ12+CA12+CB12+CC12),MAX(CI12,(BY12+BZ12+CA12+CB12+CC12))),CJ11))</f>
        <v>10</v>
      </c>
      <c r="CK12" s="12" t="n">
        <f aca="false">IF($A12="","",IF($G12=1,CI12,CK11-N(CL11)))</f>
        <v>4</v>
      </c>
      <c r="CL12" s="12" t="n">
        <f aca="false">IF($C12=1,ROUND(CK12/($E12-$D12+1),0),"")</f>
        <v>1</v>
      </c>
      <c r="CM12" s="12" t="n">
        <f aca="false">IF($C12&lt;&gt;1,"",IF('Base de Dados'!$B$7="Sim",IF(SUMIFS(BU$5:BU11,$B$5:$B11,$B12)&lt;SUMIFS(CL$5:CL11,$B$5:$B11,$B12)-0.000000001,ROUNDUP(ROUND(MAX(CJ12-SUMIFS(BU$5:BU11,$B$5:$B11,$B12),0)/($E12-$D12+1),6),0),ROUND(MAX(CJ12-SUMIFS(BU$5:BU11,$B$5:$B11,$B12),0)/($E12-$D12+1),0)),MAX(CL12,IF(SUMIFS(BU$5:BU11,$B$5:$B11,$B12)&lt;SUMIFS(CL$5:CL11,$B$5:$B11,$B12)-0.000000001,ROUNDUP(ROUND(MAX(CJ12-SUMIFS(BU$5:BU11,$B$5:$B11,$B12),0)/($E12-$D12+1),6),0),ROUND(MAX(CJ12-SUMIFS(BU$5:BU11,$B$5:$B11,$B12),0)/($E12-$D12+1),0)))))</f>
        <v>4</v>
      </c>
    </row>
    <row r="13" customFormat="false" ht="15" hidden="false" customHeight="false" outlineLevel="0" collapsed="false">
      <c r="A13" s="7" t="n">
        <f aca="false">IF($E$2+7&lt;=EOMONTH($E$2,0),$E$2+7,"")</f>
        <v>46303</v>
      </c>
      <c r="B13" s="41" t="n">
        <f aca="false">IF(A13="","",IF(COUNTIFS(H$6:H$36,H13,C$6:C$36,1)=0,"",IF(H13=H12,B12,1+MAX(B$5:B12))))</f>
        <v>2</v>
      </c>
      <c r="C13" s="41" t="n">
        <f aca="false">IF(A13="",0,IF(AND(WEEKDAY(A13,2)&lt;=5,COUNTIF(Folgas!$A$5:$A$300,A13)=0),1,0))</f>
        <v>1</v>
      </c>
      <c r="D13" s="41" t="n">
        <f aca="false">IF(C13=1,COUNTIFS(B$6:B13,B13,C$6:C13,1),0)</f>
        <v>4</v>
      </c>
      <c r="E13" s="41" t="n">
        <f aca="false">IF(OR(A13="",B13=""),0,COUNTIFS(B$6:B$36,B13,C$6:C$36,1))</f>
        <v>5</v>
      </c>
      <c r="F13" s="41" t="n">
        <f aca="false">IF(OR(A13="",B13=""),0,COUNTIFS(B$6:B$36,"&gt;="&amp;B13,C$6:C$36,1))</f>
        <v>19</v>
      </c>
      <c r="G13" s="41" t="n">
        <f aca="false">IF(OR(A13="",B13=""),0,IF(B13=B12,0,1))</f>
        <v>0</v>
      </c>
      <c r="H13" s="41" t="n">
        <f aca="false">IF(A13="","",INT((A13-$E$3)/7)+1)</f>
        <v>2</v>
      </c>
      <c r="J13" s="13" t="n">
        <f aca="false">IF($A13="",0,IF('Meta Diária'!G13&lt;&gt;"",'Meta Diária'!G13,IF(AND($C13=1,$A13&gt;='Base de Dados'!$B$6),O13,0)))</f>
        <v>0</v>
      </c>
      <c r="K13" s="13" t="n">
        <f aca="false">K12+J12</f>
        <v>0</v>
      </c>
      <c r="L13" s="13" t="n">
        <f aca="false">IF($A13="","",IF($G13=1,IF($B$2=0,0,$J$3*$E13/$B$2),L12))</f>
        <v>7142.85714285714</v>
      </c>
      <c r="M13" s="13" t="n">
        <f aca="false">IF($A13="","",IF($G13=1,IF('Base de Dados'!$B$7="Sim",IF($F13=0,0,MAX($J$3-K13,0)*$E13/$F13),MAX(L13,IF($F13=0,0,MAX($J$3-K13,0)*$E13/$F13))),M12))</f>
        <v>7894.73684210526</v>
      </c>
      <c r="N13" s="13" t="n">
        <f aca="false">IF($C13=1,M13/$E13,"")</f>
        <v>1578.94736842105</v>
      </c>
      <c r="O13" s="13" t="n">
        <f aca="false">IF($C13&lt;&gt;1,"",IF('Base de Dados'!$B$7="Sim",MAX(M13-SUMIFS(J$5:J12,$B$5:$B12,$B13),0)/($E13-$D13+1),MAX(N13,MAX(M13-SUMIFS(J$5:J12,$B$5:$B12,$B13),0)/($E13-$D13+1))))</f>
        <v>3947.36842105263</v>
      </c>
      <c r="P13" s="12" t="n">
        <f aca="false">IF($A13="",0,IF('Meta Diária'!I13&lt;&gt;"",'Meta Diária'!I13,IF(AND($C13=1,$A13&gt;='Base de Dados'!$B$6),AH13,0)))</f>
        <v>0</v>
      </c>
      <c r="Q13" s="12" t="n">
        <f aca="false">Q12+P12</f>
        <v>0</v>
      </c>
      <c r="R13" s="41" t="str">
        <f aca="false">IF($G13=1,IF(Q13&lt;S13-0.000000001,1,0),"")</f>
        <v/>
      </c>
      <c r="S13" s="12" t="str">
        <f aca="false">IF($G13=1,SUMIFS(AD$5:AD12,$G$5:$G12,1),"")</f>
        <v/>
      </c>
      <c r="T13" s="12" t="str">
        <f aca="false">IF($G13=1,IF(AND($E13&gt;=1,($F13-0)&gt;0),IF(R13=1,ROUNDUP(ROUND((MAX($P$3-Q13,0)-(0))/($F13-0),6),0),ROUND((MAX($P$3-Q13,0)-(0))/($F13-0),0)),0),"")</f>
        <v/>
      </c>
      <c r="U13" s="12" t="str">
        <f aca="false">IF($G13=1,IF(AND($E13&gt;=2,($F13-1)&gt;0),IF(R13=1,ROUNDUP(ROUND((MAX($P$3-Q13,0)-(T13))/($F13-1),6),0),ROUND((MAX($P$3-Q13,0)-(T13))/($F13-1),0)),0),"")</f>
        <v/>
      </c>
      <c r="V13" s="12" t="str">
        <f aca="false">IF($G13=1,IF(AND($E13&gt;=3,($F13-2)&gt;0),IF(R13=1,ROUNDUP(ROUND((MAX($P$3-Q13,0)-(T13+U13))/($F13-2),6),0),ROUND((MAX($P$3-Q13,0)-(T13+U13))/($F13-2),0)),0),"")</f>
        <v/>
      </c>
      <c r="W13" s="12" t="str">
        <f aca="false">IF($G13=1,IF(AND($E13&gt;=4,($F13-3)&gt;0),IF(R13=1,ROUNDUP(ROUND((MAX($P$3-Q13,0)-(T13+U13+V13))/($F13-3),6),0),ROUND((MAX($P$3-Q13,0)-(T13+U13+V13))/($F13-3),0)),0),"")</f>
        <v/>
      </c>
      <c r="X13" s="12" t="str">
        <f aca="false">IF($G13=1,IF(AND($E13&gt;=5,($F13-4)&gt;0),IF(R13=1,ROUNDUP(ROUND((MAX($P$3-Q13,0)-(T13+U13+V13+W13))/($F13-4),6),0),ROUND((MAX($P$3-Q13,0)-(T13+U13+V13+W13))/($F13-4),0)),0),"")</f>
        <v/>
      </c>
      <c r="Y13" s="12" t="str">
        <f aca="false">IF($G13=1,IF(AND($E13&gt;=1,($F13-0)&gt;0),ROUND((($P$3-S13)-(0))/($F13-0),0),0),"")</f>
        <v/>
      </c>
      <c r="Z13" s="12" t="str">
        <f aca="false">IF($G13=1,IF(AND($E13&gt;=2,($F13-1)&gt;0),ROUND((($P$3-S13)-(Y13))/($F13-1),0),0),"")</f>
        <v/>
      </c>
      <c r="AA13" s="12" t="str">
        <f aca="false">IF($G13=1,IF(AND($E13&gt;=3,($F13-2)&gt;0),ROUND((($P$3-S13)-(Y13+Z13))/($F13-2),0),0),"")</f>
        <v/>
      </c>
      <c r="AB13" s="12" t="str">
        <f aca="false">IF($G13=1,IF(AND($E13&gt;=4,($F13-3)&gt;0),ROUND((($P$3-S13)-(Y13+Z13+AA13))/($F13-3),0),0),"")</f>
        <v/>
      </c>
      <c r="AC13" s="12" t="str">
        <f aca="false">IF($G13=1,IF(AND($E13&gt;=5,($F13-4)&gt;0),ROUND((($P$3-S13)-(Y13+Z13+AA13+AB13))/($F13-4),0),0),"")</f>
        <v/>
      </c>
      <c r="AD13" s="12" t="n">
        <f aca="false">IF($A13="","",IF($G13=1,(Y13+Z13+AA13+AB13+AC13),AD12))</f>
        <v>205</v>
      </c>
      <c r="AE13" s="12" t="n">
        <f aca="false">IF($A13="","",IF($G13=1,IF('Base de Dados'!$B$7="Sim",(T13+U13+V13+W13+X13),MAX(AD13,(T13+U13+V13+W13+X13))),AE12))</f>
        <v>228</v>
      </c>
      <c r="AF13" s="12" t="n">
        <f aca="false">IF($A13="","",IF($G13=1,AD13,AF12-N(AG12)))</f>
        <v>82</v>
      </c>
      <c r="AG13" s="12" t="n">
        <f aca="false">IF($C13=1,ROUND(AF13/($E13-$D13+1),0),"")</f>
        <v>41</v>
      </c>
      <c r="AH13" s="12" t="n">
        <f aca="false">IF($C13&lt;&gt;1,"",IF('Base de Dados'!$B$7="Sim",IF(SUMIFS(P$5:P12,$B$5:$B12,$B13)&lt;SUMIFS(AG$5:AG12,$B$5:$B12,$B13)-0.000000001,ROUNDUP(ROUND(MAX(AE13-SUMIFS(P$5:P12,$B$5:$B12,$B13),0)/($E13-$D13+1),6),0),ROUND(MAX(AE13-SUMIFS(P$5:P12,$B$5:$B12,$B13),0)/($E13-$D13+1),0)),MAX(AG13,IF(SUMIFS(P$5:P12,$B$5:$B12,$B13)&lt;SUMIFS(AG$5:AG12,$B$5:$B12,$B13)-0.000000001,ROUNDUP(ROUND(MAX(AE13-SUMIFS(P$5:P12,$B$5:$B12,$B13),0)/($E13-$D13+1),6),0),ROUND(MAX(AE13-SUMIFS(P$5:P12,$B$5:$B12,$B13),0)/($E13-$D13+1),0)))))</f>
        <v>114</v>
      </c>
      <c r="AI13" s="12" t="n">
        <f aca="false">IF($A13="",0,IF('Meta Diária'!K13&lt;&gt;"",'Meta Diária'!K13,IF(AND($C13=1,$A13&gt;='Base de Dados'!$B$6),BA13,0)))</f>
        <v>0</v>
      </c>
      <c r="AJ13" s="12" t="n">
        <f aca="false">AJ12+AI12</f>
        <v>0</v>
      </c>
      <c r="AK13" s="41" t="str">
        <f aca="false">IF($G13=1,IF(AJ13&lt;AL13-0.000000001,1,0),"")</f>
        <v/>
      </c>
      <c r="AL13" s="12" t="str">
        <f aca="false">IF($G13=1,SUMIFS(AW$5:AW12,$G$5:$G12,1),"")</f>
        <v/>
      </c>
      <c r="AM13" s="12" t="str">
        <f aca="false">IF($G13=1,IF(AND($E13&gt;=1,($F13-0)&gt;0),IF(AK13=1,ROUNDUP(ROUND((MAX($AI$3-AJ13,0)-(0))/($F13-0),6),0),ROUND((MAX($AI$3-AJ13,0)-(0))/($F13-0),0)),0),"")</f>
        <v/>
      </c>
      <c r="AN13" s="12" t="str">
        <f aca="false">IF($G13=1,IF(AND($E13&gt;=2,($F13-1)&gt;0),IF(AK13=1,ROUNDUP(ROUND((MAX($AI$3-AJ13,0)-(AM13))/($F13-1),6),0),ROUND((MAX($AI$3-AJ13,0)-(AM13))/($F13-1),0)),0),"")</f>
        <v/>
      </c>
      <c r="AO13" s="12" t="str">
        <f aca="false">IF($G13=1,IF(AND($E13&gt;=3,($F13-2)&gt;0),IF(AK13=1,ROUNDUP(ROUND((MAX($AI$3-AJ13,0)-(AM13+AN13))/($F13-2),6),0),ROUND((MAX($AI$3-AJ13,0)-(AM13+AN13))/($F13-2),0)),0),"")</f>
        <v/>
      </c>
      <c r="AP13" s="12" t="str">
        <f aca="false">IF($G13=1,IF(AND($E13&gt;=4,($F13-3)&gt;0),IF(AK13=1,ROUNDUP(ROUND((MAX($AI$3-AJ13,0)-(AM13+AN13+AO13))/($F13-3),6),0),ROUND((MAX($AI$3-AJ13,0)-(AM13+AN13+AO13))/($F13-3),0)),0),"")</f>
        <v/>
      </c>
      <c r="AQ13" s="12" t="str">
        <f aca="false">IF($G13=1,IF(AND($E13&gt;=5,($F13-4)&gt;0),IF(AK13=1,ROUNDUP(ROUND((MAX($AI$3-AJ13,0)-(AM13+AN13+AO13+AP13))/($F13-4),6),0),ROUND((MAX($AI$3-AJ13,0)-(AM13+AN13+AO13+AP13))/($F13-4),0)),0),"")</f>
        <v/>
      </c>
      <c r="AR13" s="12" t="str">
        <f aca="false">IF($G13=1,IF(AND($E13&gt;=1,($F13-0)&gt;0),ROUND((($AI$3-AL13)-(0))/($F13-0),0),0),"")</f>
        <v/>
      </c>
      <c r="AS13" s="12" t="str">
        <f aca="false">IF($G13=1,IF(AND($E13&gt;=2,($F13-1)&gt;0),ROUND((($AI$3-AL13)-(AR13))/($F13-1),0),0),"")</f>
        <v/>
      </c>
      <c r="AT13" s="12" t="str">
        <f aca="false">IF($G13=1,IF(AND($E13&gt;=3,($F13-2)&gt;0),ROUND((($AI$3-AL13)-(AR13+AS13))/($F13-2),0),0),"")</f>
        <v/>
      </c>
      <c r="AU13" s="12" t="str">
        <f aca="false">IF($G13=1,IF(AND($E13&gt;=4,($F13-3)&gt;0),ROUND((($AI$3-AL13)-(AR13+AS13+AT13))/($F13-3),0),0),"")</f>
        <v/>
      </c>
      <c r="AV13" s="12" t="str">
        <f aca="false">IF($G13=1,IF(AND($E13&gt;=5,($F13-4)&gt;0),ROUND((($AI$3-AL13)-(AR13+AS13+AT13+AU13))/($F13-4),0),0),"")</f>
        <v/>
      </c>
      <c r="AW13" s="12" t="n">
        <f aca="false">IF($A13="","",IF($G13=1,(AR13+AS13+AT13+AU13+AV13),AW12))</f>
        <v>40</v>
      </c>
      <c r="AX13" s="12" t="n">
        <f aca="false">IF($A13="","",IF($G13=1,IF('Base de Dados'!$B$7="Sim",(AM13+AN13+AO13+AP13+AQ13),MAX(AW13,(AM13+AN13+AO13+AP13+AQ13))),AX12))</f>
        <v>46</v>
      </c>
      <c r="AY13" s="12" t="n">
        <f aca="false">IF($A13="","",IF($G13=1,AW13,AY12-N(AZ12)))</f>
        <v>16</v>
      </c>
      <c r="AZ13" s="12" t="n">
        <f aca="false">IF($C13=1,ROUND(AY13/($E13-$D13+1),0),"")</f>
        <v>8</v>
      </c>
      <c r="BA13" s="12" t="n">
        <f aca="false">IF($C13&lt;&gt;1,"",IF('Base de Dados'!$B$7="Sim",IF(SUMIFS(AI$5:AI12,$B$5:$B12,$B13)&lt;SUMIFS(AZ$5:AZ12,$B$5:$B12,$B13)-0.000000001,ROUNDUP(ROUND(MAX(AX13-SUMIFS(AI$5:AI12,$B$5:$B12,$B13),0)/($E13-$D13+1),6),0),ROUND(MAX(AX13-SUMIFS(AI$5:AI12,$B$5:$B12,$B13),0)/($E13-$D13+1),0)),MAX(AZ13,IF(SUMIFS(AI$5:AI12,$B$5:$B12,$B13)&lt;SUMIFS(AZ$5:AZ12,$B$5:$B12,$B13)-0.000000001,ROUNDUP(ROUND(MAX(AX13-SUMIFS(AI$5:AI12,$B$5:$B12,$B13),0)/($E13-$D13+1),6),0),ROUND(MAX(AX13-SUMIFS(AI$5:AI12,$B$5:$B12,$B13),0)/($E13-$D13+1),0)))))</f>
        <v>23</v>
      </c>
      <c r="BB13" s="12" t="n">
        <f aca="false">IF($A13="",0,IF('Meta Diária'!M13&lt;&gt;"",'Meta Diária'!M13,IF(AND($C13=1,$A13&gt;='Base de Dados'!$B$6),BT13,0)))</f>
        <v>0</v>
      </c>
      <c r="BC13" s="12" t="n">
        <f aca="false">BC12+BB12</f>
        <v>0</v>
      </c>
      <c r="BD13" s="41" t="str">
        <f aca="false">IF($G13=1,IF(BC13&lt;BE13-0.000000001,1,0),"")</f>
        <v/>
      </c>
      <c r="BE13" s="12" t="str">
        <f aca="false">IF($G13=1,SUMIFS(BP$5:BP12,$G$5:$G12,1),"")</f>
        <v/>
      </c>
      <c r="BF13" s="12" t="str">
        <f aca="false">IF($G13=1,IF(AND($E13&gt;=1,($F13-0)&gt;0),IF(BD13=1,ROUNDUP(ROUND((MAX($BB$3-BC13,0)-(0))/($F13-0),6),0),ROUND((MAX($BB$3-BC13,0)-(0))/($F13-0),0)),0),"")</f>
        <v/>
      </c>
      <c r="BG13" s="12" t="str">
        <f aca="false">IF($G13=1,IF(AND($E13&gt;=2,($F13-1)&gt;0),IF(BD13=1,ROUNDUP(ROUND((MAX($BB$3-BC13,0)-(BF13))/($F13-1),6),0),ROUND((MAX($BB$3-BC13,0)-(BF13))/($F13-1),0)),0),"")</f>
        <v/>
      </c>
      <c r="BH13" s="12" t="str">
        <f aca="false">IF($G13=1,IF(AND($E13&gt;=3,($F13-2)&gt;0),IF(BD13=1,ROUNDUP(ROUND((MAX($BB$3-BC13,0)-(BF13+BG13))/($F13-2),6),0),ROUND((MAX($BB$3-BC13,0)-(BF13+BG13))/($F13-2),0)),0),"")</f>
        <v/>
      </c>
      <c r="BI13" s="12" t="str">
        <f aca="false">IF($G13=1,IF(AND($E13&gt;=4,($F13-3)&gt;0),IF(BD13=1,ROUNDUP(ROUND((MAX($BB$3-BC13,0)-(BF13+BG13+BH13))/($F13-3),6),0),ROUND((MAX($BB$3-BC13,0)-(BF13+BG13+BH13))/($F13-3),0)),0),"")</f>
        <v/>
      </c>
      <c r="BJ13" s="12" t="str">
        <f aca="false">IF($G13=1,IF(AND($E13&gt;=5,($F13-4)&gt;0),IF(BD13=1,ROUNDUP(ROUND((MAX($BB$3-BC13,0)-(BF13+BG13+BH13+BI13))/($F13-4),6),0),ROUND((MAX($BB$3-BC13,0)-(BF13+BG13+BH13+BI13))/($F13-4),0)),0),"")</f>
        <v/>
      </c>
      <c r="BK13" s="12" t="str">
        <f aca="false">IF($G13=1,IF(AND($E13&gt;=1,($F13-0)&gt;0),ROUND((($BB$3-BE13)-(0))/($F13-0),0),0),"")</f>
        <v/>
      </c>
      <c r="BL13" s="12" t="str">
        <f aca="false">IF($G13=1,IF(AND($E13&gt;=2,($F13-1)&gt;0),ROUND((($BB$3-BE13)-(BK13))/($F13-1),0),0),"")</f>
        <v/>
      </c>
      <c r="BM13" s="12" t="str">
        <f aca="false">IF($G13=1,IF(AND($E13&gt;=3,($F13-2)&gt;0),ROUND((($BB$3-BE13)-(BK13+BL13))/($F13-2),0),0),"")</f>
        <v/>
      </c>
      <c r="BN13" s="12" t="str">
        <f aca="false">IF($G13=1,IF(AND($E13&gt;=4,($F13-3)&gt;0),ROUND((($BB$3-BE13)-(BK13+BL13+BM13))/($F13-3),0),0),"")</f>
        <v/>
      </c>
      <c r="BO13" s="12" t="str">
        <f aca="false">IF($G13=1,IF(AND($E13&gt;=5,($F13-4)&gt;0),ROUND((($BB$3-BE13)-(BK13+BL13+BM13+BN13))/($F13-4),0),0),"")</f>
        <v/>
      </c>
      <c r="BP13" s="12" t="n">
        <f aca="false">IF($A13="","",IF($G13=1,(BK13+BL13+BM13+BN13+BO13),BP12))</f>
        <v>25</v>
      </c>
      <c r="BQ13" s="12" t="n">
        <f aca="false">IF($A13="","",IF($G13=1,IF('Base de Dados'!$B$7="Sim",(BF13+BG13+BH13+BI13+BJ13),MAX(BP13,(BF13+BG13+BH13+BI13+BJ13))),BQ12))</f>
        <v>30</v>
      </c>
      <c r="BR13" s="12" t="n">
        <f aca="false">IF($A13="","",IF($G13=1,BP13,BR12-N(BS12)))</f>
        <v>10</v>
      </c>
      <c r="BS13" s="12" t="n">
        <f aca="false">IF($C13=1,ROUND(BR13/($E13-$D13+1),0),"")</f>
        <v>5</v>
      </c>
      <c r="BT13" s="12" t="n">
        <f aca="false">IF($C13&lt;&gt;1,"",IF('Base de Dados'!$B$7="Sim",IF(SUMIFS(BB$5:BB12,$B$5:$B12,$B13)&lt;SUMIFS(BS$5:BS12,$B$5:$B12,$B13)-0.000000001,ROUNDUP(ROUND(MAX(BQ13-SUMIFS(BB$5:BB12,$B$5:$B12,$B13),0)/($E13-$D13+1),6),0),ROUND(MAX(BQ13-SUMIFS(BB$5:BB12,$B$5:$B12,$B13),0)/($E13-$D13+1),0)),MAX(BS13,IF(SUMIFS(BB$5:BB12,$B$5:$B12,$B13)&lt;SUMIFS(BS$5:BS12,$B$5:$B12,$B13)-0.000000001,ROUNDUP(ROUND(MAX(BQ13-SUMIFS(BB$5:BB12,$B$5:$B12,$B13),0)/($E13-$D13+1),6),0),ROUND(MAX(BQ13-SUMIFS(BB$5:BB12,$B$5:$B12,$B13),0)/($E13-$D13+1),0)))))</f>
        <v>15</v>
      </c>
      <c r="BU13" s="12" t="n">
        <f aca="false">IF($A13="",0,IF('Meta Diária'!O13&lt;&gt;"",'Meta Diária'!O13,IF(AND($C13=1,$A13&gt;='Base de Dados'!$B$6),CM13,0)))</f>
        <v>0</v>
      </c>
      <c r="BV13" s="12" t="n">
        <f aca="false">BV12+BU12</f>
        <v>0</v>
      </c>
      <c r="BW13" s="41" t="str">
        <f aca="false">IF($G13=1,IF(BV13&lt;BX13-0.000000001,1,0),"")</f>
        <v/>
      </c>
      <c r="BX13" s="12" t="str">
        <f aca="false">IF($G13=1,SUMIFS(CI$5:CI12,$G$5:$G12,1),"")</f>
        <v/>
      </c>
      <c r="BY13" s="12" t="str">
        <f aca="false">IF($G13=1,IF(AND($E13&gt;=1,($F13-0)&gt;0),IF(BW13=1,ROUNDUP(ROUND((MAX($BU$3-BV13,0)-(0))/($F13-0),6),0),ROUND((MAX($BU$3-BV13,0)-(0))/($F13-0),0)),0),"")</f>
        <v/>
      </c>
      <c r="BZ13" s="12" t="str">
        <f aca="false">IF($G13=1,IF(AND($E13&gt;=2,($F13-1)&gt;0),IF(BW13=1,ROUNDUP(ROUND((MAX($BU$3-BV13,0)-(BY13))/($F13-1),6),0),ROUND((MAX($BU$3-BV13,0)-(BY13))/($F13-1),0)),0),"")</f>
        <v/>
      </c>
      <c r="CA13" s="12" t="str">
        <f aca="false">IF($G13=1,IF(AND($E13&gt;=3,($F13-2)&gt;0),IF(BW13=1,ROUNDUP(ROUND((MAX($BU$3-BV13,0)-(BY13+BZ13))/($F13-2),6),0),ROUND((MAX($BU$3-BV13,0)-(BY13+BZ13))/($F13-2),0)),0),"")</f>
        <v/>
      </c>
      <c r="CB13" s="12" t="str">
        <f aca="false">IF($G13=1,IF(AND($E13&gt;=4,($F13-3)&gt;0),IF(BW13=1,ROUNDUP(ROUND((MAX($BU$3-BV13,0)-(BY13+BZ13+CA13))/($F13-3),6),0),ROUND((MAX($BU$3-BV13,0)-(BY13+BZ13+CA13))/($F13-3),0)),0),"")</f>
        <v/>
      </c>
      <c r="CC13" s="12" t="str">
        <f aca="false">IF($G13=1,IF(AND($E13&gt;=5,($F13-4)&gt;0),IF(BW13=1,ROUNDUP(ROUND((MAX($BU$3-BV13,0)-(BY13+BZ13+CA13+CB13))/($F13-4),6),0),ROUND((MAX($BU$3-BV13,0)-(BY13+BZ13+CA13+CB13))/($F13-4),0)),0),"")</f>
        <v/>
      </c>
      <c r="CD13" s="12" t="str">
        <f aca="false">IF($G13=1,IF(AND($E13&gt;=1,($F13-0)&gt;0),ROUND((($BU$3-BX13)-(0))/($F13-0),0),0),"")</f>
        <v/>
      </c>
      <c r="CE13" s="12" t="str">
        <f aca="false">IF($G13=1,IF(AND($E13&gt;=2,($F13-1)&gt;0),ROUND((($BU$3-BX13)-(CD13))/($F13-1),0),0),"")</f>
        <v/>
      </c>
      <c r="CF13" s="12" t="str">
        <f aca="false">IF($G13=1,IF(AND($E13&gt;=3,($F13-2)&gt;0),ROUND((($BU$3-BX13)-(CD13+CE13))/($F13-2),0),0),"")</f>
        <v/>
      </c>
      <c r="CG13" s="12" t="str">
        <f aca="false">IF($G13=1,IF(AND($E13&gt;=4,($F13-3)&gt;0),ROUND((($BU$3-BX13)-(CD13+CE13+CF13))/($F13-3),0),0),"")</f>
        <v/>
      </c>
      <c r="CH13" s="12" t="str">
        <f aca="false">IF($G13=1,IF(AND($E13&gt;=5,($F13-4)&gt;0),ROUND((($BU$3-BX13)-(CD13+CE13+CF13+CG13))/($F13-4),0),0),"")</f>
        <v/>
      </c>
      <c r="CI13" s="12" t="n">
        <f aca="false">IF($A13="","",IF($G13=1,(CD13+CE13+CF13+CG13+CH13),CI12))</f>
        <v>7</v>
      </c>
      <c r="CJ13" s="12" t="n">
        <f aca="false">IF($A13="","",IF($G13=1,IF('Base de Dados'!$B$7="Sim",(BY13+BZ13+CA13+CB13+CC13),MAX(CI13,(BY13+BZ13+CA13+CB13+CC13))),CJ12))</f>
        <v>10</v>
      </c>
      <c r="CK13" s="12" t="n">
        <f aca="false">IF($A13="","",IF($G13=1,CI13,CK12-N(CL12)))</f>
        <v>3</v>
      </c>
      <c r="CL13" s="12" t="n">
        <f aca="false">IF($C13=1,ROUND(CK13/($E13-$D13+1),0),"")</f>
        <v>2</v>
      </c>
      <c r="CM13" s="12" t="n">
        <f aca="false">IF($C13&lt;&gt;1,"",IF('Base de Dados'!$B$7="Sim",IF(SUMIFS(BU$5:BU12,$B$5:$B12,$B13)&lt;SUMIFS(CL$5:CL12,$B$5:$B12,$B13)-0.000000001,ROUNDUP(ROUND(MAX(CJ13-SUMIFS(BU$5:BU12,$B$5:$B12,$B13),0)/($E13-$D13+1),6),0),ROUND(MAX(CJ13-SUMIFS(BU$5:BU12,$B$5:$B12,$B13),0)/($E13-$D13+1),0)),MAX(CL13,IF(SUMIFS(BU$5:BU12,$B$5:$B12,$B13)&lt;SUMIFS(CL$5:CL12,$B$5:$B12,$B13)-0.000000001,ROUNDUP(ROUND(MAX(CJ13-SUMIFS(BU$5:BU12,$B$5:$B12,$B13),0)/($E13-$D13+1),6),0),ROUND(MAX(CJ13-SUMIFS(BU$5:BU12,$B$5:$B12,$B13),0)/($E13-$D13+1),0)))))</f>
        <v>5</v>
      </c>
    </row>
    <row r="14" customFormat="false" ht="15" hidden="false" customHeight="false" outlineLevel="0" collapsed="false">
      <c r="A14" s="7" t="n">
        <f aca="false">IF($E$2+8&lt;=EOMONTH($E$2,0),$E$2+8,"")</f>
        <v>46304</v>
      </c>
      <c r="B14" s="41" t="n">
        <f aca="false">IF(A14="","",IF(COUNTIFS(H$6:H$36,H14,C$6:C$36,1)=0,"",IF(H14=H13,B13,1+MAX(B$5:B13))))</f>
        <v>2</v>
      </c>
      <c r="C14" s="41" t="n">
        <f aca="false">IF(A14="",0,IF(AND(WEEKDAY(A14,2)&lt;=5,COUNTIF(Folgas!$A$5:$A$300,A14)=0),1,0))</f>
        <v>1</v>
      </c>
      <c r="D14" s="41" t="n">
        <f aca="false">IF(C14=1,COUNTIFS(B$6:B14,B14,C$6:C14,1),0)</f>
        <v>5</v>
      </c>
      <c r="E14" s="41" t="n">
        <f aca="false">IF(OR(A14="",B14=""),0,COUNTIFS(B$6:B$36,B14,C$6:C$36,1))</f>
        <v>5</v>
      </c>
      <c r="F14" s="41" t="n">
        <f aca="false">IF(OR(A14="",B14=""),0,COUNTIFS(B$6:B$36,"&gt;="&amp;B14,C$6:C$36,1))</f>
        <v>19</v>
      </c>
      <c r="G14" s="41" t="n">
        <f aca="false">IF(OR(A14="",B14=""),0,IF(B14=B13,0,1))</f>
        <v>0</v>
      </c>
      <c r="H14" s="41" t="n">
        <f aca="false">IF(A14="","",INT((A14-$E$3)/7)+1)</f>
        <v>2</v>
      </c>
      <c r="J14" s="13" t="n">
        <f aca="false">IF($A14="",0,IF('Meta Diária'!G14&lt;&gt;"",'Meta Diária'!G14,IF(AND($C14=1,$A14&gt;='Base de Dados'!$B$6),O14,0)))</f>
        <v>0</v>
      </c>
      <c r="K14" s="13" t="n">
        <f aca="false">K13+J13</f>
        <v>0</v>
      </c>
      <c r="L14" s="13" t="n">
        <f aca="false">IF($A14="","",IF($G14=1,IF($B$2=0,0,$J$3*$E14/$B$2),L13))</f>
        <v>7142.85714285714</v>
      </c>
      <c r="M14" s="13" t="n">
        <f aca="false">IF($A14="","",IF($G14=1,IF('Base de Dados'!$B$7="Sim",IF($F14=0,0,MAX($J$3-K14,0)*$E14/$F14),MAX(L14,IF($F14=0,0,MAX($J$3-K14,0)*$E14/$F14))),M13))</f>
        <v>7894.73684210526</v>
      </c>
      <c r="N14" s="13" t="n">
        <f aca="false">IF($C14=1,M14/$E14,"")</f>
        <v>1578.94736842105</v>
      </c>
      <c r="O14" s="13" t="n">
        <f aca="false">IF($C14&lt;&gt;1,"",IF('Base de Dados'!$B$7="Sim",MAX(M14-SUMIFS(J$5:J13,$B$5:$B13,$B14),0)/($E14-$D14+1),MAX(N14,MAX(M14-SUMIFS(J$5:J13,$B$5:$B13,$B14),0)/($E14-$D14+1))))</f>
        <v>7894.73684210526</v>
      </c>
      <c r="P14" s="12" t="n">
        <f aca="false">IF($A14="",0,IF('Meta Diária'!I14&lt;&gt;"",'Meta Diária'!I14,IF(AND($C14=1,$A14&gt;='Base de Dados'!$B$6),AH14,0)))</f>
        <v>0</v>
      </c>
      <c r="Q14" s="12" t="n">
        <f aca="false">Q13+P13</f>
        <v>0</v>
      </c>
      <c r="R14" s="41" t="str">
        <f aca="false">IF($G14=1,IF(Q14&lt;S14-0.000000001,1,0),"")</f>
        <v/>
      </c>
      <c r="S14" s="12" t="str">
        <f aca="false">IF($G14=1,SUMIFS(AD$5:AD13,$G$5:$G13,1),"")</f>
        <v/>
      </c>
      <c r="T14" s="12" t="str">
        <f aca="false">IF($G14=1,IF(AND($E14&gt;=1,($F14-0)&gt;0),IF(R14=1,ROUNDUP(ROUND((MAX($P$3-Q14,0)-(0))/($F14-0),6),0),ROUND((MAX($P$3-Q14,0)-(0))/($F14-0),0)),0),"")</f>
        <v/>
      </c>
      <c r="U14" s="12" t="str">
        <f aca="false">IF($G14=1,IF(AND($E14&gt;=2,($F14-1)&gt;0),IF(R14=1,ROUNDUP(ROUND((MAX($P$3-Q14,0)-(T14))/($F14-1),6),0),ROUND((MAX($P$3-Q14,0)-(T14))/($F14-1),0)),0),"")</f>
        <v/>
      </c>
      <c r="V14" s="12" t="str">
        <f aca="false">IF($G14=1,IF(AND($E14&gt;=3,($F14-2)&gt;0),IF(R14=1,ROUNDUP(ROUND((MAX($P$3-Q14,0)-(T14+U14))/($F14-2),6),0),ROUND((MAX($P$3-Q14,0)-(T14+U14))/($F14-2),0)),0),"")</f>
        <v/>
      </c>
      <c r="W14" s="12" t="str">
        <f aca="false">IF($G14=1,IF(AND($E14&gt;=4,($F14-3)&gt;0),IF(R14=1,ROUNDUP(ROUND((MAX($P$3-Q14,0)-(T14+U14+V14))/($F14-3),6),0),ROUND((MAX($P$3-Q14,0)-(T14+U14+V14))/($F14-3),0)),0),"")</f>
        <v/>
      </c>
      <c r="X14" s="12" t="str">
        <f aca="false">IF($G14=1,IF(AND($E14&gt;=5,($F14-4)&gt;0),IF(R14=1,ROUNDUP(ROUND((MAX($P$3-Q14,0)-(T14+U14+V14+W14))/($F14-4),6),0),ROUND((MAX($P$3-Q14,0)-(T14+U14+V14+W14))/($F14-4),0)),0),"")</f>
        <v/>
      </c>
      <c r="Y14" s="12" t="str">
        <f aca="false">IF($G14=1,IF(AND($E14&gt;=1,($F14-0)&gt;0),ROUND((($P$3-S14)-(0))/($F14-0),0),0),"")</f>
        <v/>
      </c>
      <c r="Z14" s="12" t="str">
        <f aca="false">IF($G14=1,IF(AND($E14&gt;=2,($F14-1)&gt;0),ROUND((($P$3-S14)-(Y14))/($F14-1),0),0),"")</f>
        <v/>
      </c>
      <c r="AA14" s="12" t="str">
        <f aca="false">IF($G14=1,IF(AND($E14&gt;=3,($F14-2)&gt;0),ROUND((($P$3-S14)-(Y14+Z14))/($F14-2),0),0),"")</f>
        <v/>
      </c>
      <c r="AB14" s="12" t="str">
        <f aca="false">IF($G14=1,IF(AND($E14&gt;=4,($F14-3)&gt;0),ROUND((($P$3-S14)-(Y14+Z14+AA14))/($F14-3),0),0),"")</f>
        <v/>
      </c>
      <c r="AC14" s="12" t="str">
        <f aca="false">IF($G14=1,IF(AND($E14&gt;=5,($F14-4)&gt;0),ROUND((($P$3-S14)-(Y14+Z14+AA14+AB14))/($F14-4),0),0),"")</f>
        <v/>
      </c>
      <c r="AD14" s="12" t="n">
        <f aca="false">IF($A14="","",IF($G14=1,(Y14+Z14+AA14+AB14+AC14),AD13))</f>
        <v>205</v>
      </c>
      <c r="AE14" s="12" t="n">
        <f aca="false">IF($A14="","",IF($G14=1,IF('Base de Dados'!$B$7="Sim",(T14+U14+V14+W14+X14),MAX(AD14,(T14+U14+V14+W14+X14))),AE13))</f>
        <v>228</v>
      </c>
      <c r="AF14" s="12" t="n">
        <f aca="false">IF($A14="","",IF($G14=1,AD14,AF13-N(AG13)))</f>
        <v>41</v>
      </c>
      <c r="AG14" s="12" t="n">
        <f aca="false">IF($C14=1,ROUND(AF14/($E14-$D14+1),0),"")</f>
        <v>41</v>
      </c>
      <c r="AH14" s="12" t="n">
        <f aca="false">IF($C14&lt;&gt;1,"",IF('Base de Dados'!$B$7="Sim",IF(SUMIFS(P$5:P13,$B$5:$B13,$B14)&lt;SUMIFS(AG$5:AG13,$B$5:$B13,$B14)-0.000000001,ROUNDUP(ROUND(MAX(AE14-SUMIFS(P$5:P13,$B$5:$B13,$B14),0)/($E14-$D14+1),6),0),ROUND(MAX(AE14-SUMIFS(P$5:P13,$B$5:$B13,$B14),0)/($E14-$D14+1),0)),MAX(AG14,IF(SUMIFS(P$5:P13,$B$5:$B13,$B14)&lt;SUMIFS(AG$5:AG13,$B$5:$B13,$B14)-0.000000001,ROUNDUP(ROUND(MAX(AE14-SUMIFS(P$5:P13,$B$5:$B13,$B14),0)/($E14-$D14+1),6),0),ROUND(MAX(AE14-SUMIFS(P$5:P13,$B$5:$B13,$B14),0)/($E14-$D14+1),0)))))</f>
        <v>228</v>
      </c>
      <c r="AI14" s="12" t="n">
        <f aca="false">IF($A14="",0,IF('Meta Diária'!K14&lt;&gt;"",'Meta Diária'!K14,IF(AND($C14=1,$A14&gt;='Base de Dados'!$B$6),BA14,0)))</f>
        <v>0</v>
      </c>
      <c r="AJ14" s="12" t="n">
        <f aca="false">AJ13+AI13</f>
        <v>0</v>
      </c>
      <c r="AK14" s="41" t="str">
        <f aca="false">IF($G14=1,IF(AJ14&lt;AL14-0.000000001,1,0),"")</f>
        <v/>
      </c>
      <c r="AL14" s="12" t="str">
        <f aca="false">IF($G14=1,SUMIFS(AW$5:AW13,$G$5:$G13,1),"")</f>
        <v/>
      </c>
      <c r="AM14" s="12" t="str">
        <f aca="false">IF($G14=1,IF(AND($E14&gt;=1,($F14-0)&gt;0),IF(AK14=1,ROUNDUP(ROUND((MAX($AI$3-AJ14,0)-(0))/($F14-0),6),0),ROUND((MAX($AI$3-AJ14,0)-(0))/($F14-0),0)),0),"")</f>
        <v/>
      </c>
      <c r="AN14" s="12" t="str">
        <f aca="false">IF($G14=1,IF(AND($E14&gt;=2,($F14-1)&gt;0),IF(AK14=1,ROUNDUP(ROUND((MAX($AI$3-AJ14,0)-(AM14))/($F14-1),6),0),ROUND((MAX($AI$3-AJ14,0)-(AM14))/($F14-1),0)),0),"")</f>
        <v/>
      </c>
      <c r="AO14" s="12" t="str">
        <f aca="false">IF($G14=1,IF(AND($E14&gt;=3,($F14-2)&gt;0),IF(AK14=1,ROUNDUP(ROUND((MAX($AI$3-AJ14,0)-(AM14+AN14))/($F14-2),6),0),ROUND((MAX($AI$3-AJ14,0)-(AM14+AN14))/($F14-2),0)),0),"")</f>
        <v/>
      </c>
      <c r="AP14" s="12" t="str">
        <f aca="false">IF($G14=1,IF(AND($E14&gt;=4,($F14-3)&gt;0),IF(AK14=1,ROUNDUP(ROUND((MAX($AI$3-AJ14,0)-(AM14+AN14+AO14))/($F14-3),6),0),ROUND((MAX($AI$3-AJ14,0)-(AM14+AN14+AO14))/($F14-3),0)),0),"")</f>
        <v/>
      </c>
      <c r="AQ14" s="12" t="str">
        <f aca="false">IF($G14=1,IF(AND($E14&gt;=5,($F14-4)&gt;0),IF(AK14=1,ROUNDUP(ROUND((MAX($AI$3-AJ14,0)-(AM14+AN14+AO14+AP14))/($F14-4),6),0),ROUND((MAX($AI$3-AJ14,0)-(AM14+AN14+AO14+AP14))/($F14-4),0)),0),"")</f>
        <v/>
      </c>
      <c r="AR14" s="12" t="str">
        <f aca="false">IF($G14=1,IF(AND($E14&gt;=1,($F14-0)&gt;0),ROUND((($AI$3-AL14)-(0))/($F14-0),0),0),"")</f>
        <v/>
      </c>
      <c r="AS14" s="12" t="str">
        <f aca="false">IF($G14=1,IF(AND($E14&gt;=2,($F14-1)&gt;0),ROUND((($AI$3-AL14)-(AR14))/($F14-1),0),0),"")</f>
        <v/>
      </c>
      <c r="AT14" s="12" t="str">
        <f aca="false">IF($G14=1,IF(AND($E14&gt;=3,($F14-2)&gt;0),ROUND((($AI$3-AL14)-(AR14+AS14))/($F14-2),0),0),"")</f>
        <v/>
      </c>
      <c r="AU14" s="12" t="str">
        <f aca="false">IF($G14=1,IF(AND($E14&gt;=4,($F14-3)&gt;0),ROUND((($AI$3-AL14)-(AR14+AS14+AT14))/($F14-3),0),0),"")</f>
        <v/>
      </c>
      <c r="AV14" s="12" t="str">
        <f aca="false">IF($G14=1,IF(AND($E14&gt;=5,($F14-4)&gt;0),ROUND((($AI$3-AL14)-(AR14+AS14+AT14+AU14))/($F14-4),0),0),"")</f>
        <v/>
      </c>
      <c r="AW14" s="12" t="n">
        <f aca="false">IF($A14="","",IF($G14=1,(AR14+AS14+AT14+AU14+AV14),AW13))</f>
        <v>40</v>
      </c>
      <c r="AX14" s="12" t="n">
        <f aca="false">IF($A14="","",IF($G14=1,IF('Base de Dados'!$B$7="Sim",(AM14+AN14+AO14+AP14+AQ14),MAX(AW14,(AM14+AN14+AO14+AP14+AQ14))),AX13))</f>
        <v>46</v>
      </c>
      <c r="AY14" s="12" t="n">
        <f aca="false">IF($A14="","",IF($G14=1,AW14,AY13-N(AZ13)))</f>
        <v>8</v>
      </c>
      <c r="AZ14" s="12" t="n">
        <f aca="false">IF($C14=1,ROUND(AY14/($E14-$D14+1),0),"")</f>
        <v>8</v>
      </c>
      <c r="BA14" s="12" t="n">
        <f aca="false">IF($C14&lt;&gt;1,"",IF('Base de Dados'!$B$7="Sim",IF(SUMIFS(AI$5:AI13,$B$5:$B13,$B14)&lt;SUMIFS(AZ$5:AZ13,$B$5:$B13,$B14)-0.000000001,ROUNDUP(ROUND(MAX(AX14-SUMIFS(AI$5:AI13,$B$5:$B13,$B14),0)/($E14-$D14+1),6),0),ROUND(MAX(AX14-SUMIFS(AI$5:AI13,$B$5:$B13,$B14),0)/($E14-$D14+1),0)),MAX(AZ14,IF(SUMIFS(AI$5:AI13,$B$5:$B13,$B14)&lt;SUMIFS(AZ$5:AZ13,$B$5:$B13,$B14)-0.000000001,ROUNDUP(ROUND(MAX(AX14-SUMIFS(AI$5:AI13,$B$5:$B13,$B14),0)/($E14-$D14+1),6),0),ROUND(MAX(AX14-SUMIFS(AI$5:AI13,$B$5:$B13,$B14),0)/($E14-$D14+1),0)))))</f>
        <v>46</v>
      </c>
      <c r="BB14" s="12" t="n">
        <f aca="false">IF($A14="",0,IF('Meta Diária'!M14&lt;&gt;"",'Meta Diária'!M14,IF(AND($C14=1,$A14&gt;='Base de Dados'!$B$6),BT14,0)))</f>
        <v>0</v>
      </c>
      <c r="BC14" s="12" t="n">
        <f aca="false">BC13+BB13</f>
        <v>0</v>
      </c>
      <c r="BD14" s="41" t="str">
        <f aca="false">IF($G14=1,IF(BC14&lt;BE14-0.000000001,1,0),"")</f>
        <v/>
      </c>
      <c r="BE14" s="12" t="str">
        <f aca="false">IF($G14=1,SUMIFS(BP$5:BP13,$G$5:$G13,1),"")</f>
        <v/>
      </c>
      <c r="BF14" s="12" t="str">
        <f aca="false">IF($G14=1,IF(AND($E14&gt;=1,($F14-0)&gt;0),IF(BD14=1,ROUNDUP(ROUND((MAX($BB$3-BC14,0)-(0))/($F14-0),6),0),ROUND((MAX($BB$3-BC14,0)-(0))/($F14-0),0)),0),"")</f>
        <v/>
      </c>
      <c r="BG14" s="12" t="str">
        <f aca="false">IF($G14=1,IF(AND($E14&gt;=2,($F14-1)&gt;0),IF(BD14=1,ROUNDUP(ROUND((MAX($BB$3-BC14,0)-(BF14))/($F14-1),6),0),ROUND((MAX($BB$3-BC14,0)-(BF14))/($F14-1),0)),0),"")</f>
        <v/>
      </c>
      <c r="BH14" s="12" t="str">
        <f aca="false">IF($G14=1,IF(AND($E14&gt;=3,($F14-2)&gt;0),IF(BD14=1,ROUNDUP(ROUND((MAX($BB$3-BC14,0)-(BF14+BG14))/($F14-2),6),0),ROUND((MAX($BB$3-BC14,0)-(BF14+BG14))/($F14-2),0)),0),"")</f>
        <v/>
      </c>
      <c r="BI14" s="12" t="str">
        <f aca="false">IF($G14=1,IF(AND($E14&gt;=4,($F14-3)&gt;0),IF(BD14=1,ROUNDUP(ROUND((MAX($BB$3-BC14,0)-(BF14+BG14+BH14))/($F14-3),6),0),ROUND((MAX($BB$3-BC14,0)-(BF14+BG14+BH14))/($F14-3),0)),0),"")</f>
        <v/>
      </c>
      <c r="BJ14" s="12" t="str">
        <f aca="false">IF($G14=1,IF(AND($E14&gt;=5,($F14-4)&gt;0),IF(BD14=1,ROUNDUP(ROUND((MAX($BB$3-BC14,0)-(BF14+BG14+BH14+BI14))/($F14-4),6),0),ROUND((MAX($BB$3-BC14,0)-(BF14+BG14+BH14+BI14))/($F14-4),0)),0),"")</f>
        <v/>
      </c>
      <c r="BK14" s="12" t="str">
        <f aca="false">IF($G14=1,IF(AND($E14&gt;=1,($F14-0)&gt;0),ROUND((($BB$3-BE14)-(0))/($F14-0),0),0),"")</f>
        <v/>
      </c>
      <c r="BL14" s="12" t="str">
        <f aca="false">IF($G14=1,IF(AND($E14&gt;=2,($F14-1)&gt;0),ROUND((($BB$3-BE14)-(BK14))/($F14-1),0),0),"")</f>
        <v/>
      </c>
      <c r="BM14" s="12" t="str">
        <f aca="false">IF($G14=1,IF(AND($E14&gt;=3,($F14-2)&gt;0),ROUND((($BB$3-BE14)-(BK14+BL14))/($F14-2),0),0),"")</f>
        <v/>
      </c>
      <c r="BN14" s="12" t="str">
        <f aca="false">IF($G14=1,IF(AND($E14&gt;=4,($F14-3)&gt;0),ROUND((($BB$3-BE14)-(BK14+BL14+BM14))/($F14-3),0),0),"")</f>
        <v/>
      </c>
      <c r="BO14" s="12" t="str">
        <f aca="false">IF($G14=1,IF(AND($E14&gt;=5,($F14-4)&gt;0),ROUND((($BB$3-BE14)-(BK14+BL14+BM14+BN14))/($F14-4),0),0),"")</f>
        <v/>
      </c>
      <c r="BP14" s="12" t="n">
        <f aca="false">IF($A14="","",IF($G14=1,(BK14+BL14+BM14+BN14+BO14),BP13))</f>
        <v>25</v>
      </c>
      <c r="BQ14" s="12" t="n">
        <f aca="false">IF($A14="","",IF($G14=1,IF('Base de Dados'!$B$7="Sim",(BF14+BG14+BH14+BI14+BJ14),MAX(BP14,(BF14+BG14+BH14+BI14+BJ14))),BQ13))</f>
        <v>30</v>
      </c>
      <c r="BR14" s="12" t="n">
        <f aca="false">IF($A14="","",IF($G14=1,BP14,BR13-N(BS13)))</f>
        <v>5</v>
      </c>
      <c r="BS14" s="12" t="n">
        <f aca="false">IF($C14=1,ROUND(BR14/($E14-$D14+1),0),"")</f>
        <v>5</v>
      </c>
      <c r="BT14" s="12" t="n">
        <f aca="false">IF($C14&lt;&gt;1,"",IF('Base de Dados'!$B$7="Sim",IF(SUMIFS(BB$5:BB13,$B$5:$B13,$B14)&lt;SUMIFS(BS$5:BS13,$B$5:$B13,$B14)-0.000000001,ROUNDUP(ROUND(MAX(BQ14-SUMIFS(BB$5:BB13,$B$5:$B13,$B14),0)/($E14-$D14+1),6),0),ROUND(MAX(BQ14-SUMIFS(BB$5:BB13,$B$5:$B13,$B14),0)/($E14-$D14+1),0)),MAX(BS14,IF(SUMIFS(BB$5:BB13,$B$5:$B13,$B14)&lt;SUMIFS(BS$5:BS13,$B$5:$B13,$B14)-0.000000001,ROUNDUP(ROUND(MAX(BQ14-SUMIFS(BB$5:BB13,$B$5:$B13,$B14),0)/($E14-$D14+1),6),0),ROUND(MAX(BQ14-SUMIFS(BB$5:BB13,$B$5:$B13,$B14),0)/($E14-$D14+1),0)))))</f>
        <v>30</v>
      </c>
      <c r="BU14" s="12" t="n">
        <f aca="false">IF($A14="",0,IF('Meta Diária'!O14&lt;&gt;"",'Meta Diária'!O14,IF(AND($C14=1,$A14&gt;='Base de Dados'!$B$6),CM14,0)))</f>
        <v>0</v>
      </c>
      <c r="BV14" s="12" t="n">
        <f aca="false">BV13+BU13</f>
        <v>0</v>
      </c>
      <c r="BW14" s="41" t="str">
        <f aca="false">IF($G14=1,IF(BV14&lt;BX14-0.000000001,1,0),"")</f>
        <v/>
      </c>
      <c r="BX14" s="12" t="str">
        <f aca="false">IF($G14=1,SUMIFS(CI$5:CI13,$G$5:$G13,1),"")</f>
        <v/>
      </c>
      <c r="BY14" s="12" t="str">
        <f aca="false">IF($G14=1,IF(AND($E14&gt;=1,($F14-0)&gt;0),IF(BW14=1,ROUNDUP(ROUND((MAX($BU$3-BV14,0)-(0))/($F14-0),6),0),ROUND((MAX($BU$3-BV14,0)-(0))/($F14-0),0)),0),"")</f>
        <v/>
      </c>
      <c r="BZ14" s="12" t="str">
        <f aca="false">IF($G14=1,IF(AND($E14&gt;=2,($F14-1)&gt;0),IF(BW14=1,ROUNDUP(ROUND((MAX($BU$3-BV14,0)-(BY14))/($F14-1),6),0),ROUND((MAX($BU$3-BV14,0)-(BY14))/($F14-1),0)),0),"")</f>
        <v/>
      </c>
      <c r="CA14" s="12" t="str">
        <f aca="false">IF($G14=1,IF(AND($E14&gt;=3,($F14-2)&gt;0),IF(BW14=1,ROUNDUP(ROUND((MAX($BU$3-BV14,0)-(BY14+BZ14))/($F14-2),6),0),ROUND((MAX($BU$3-BV14,0)-(BY14+BZ14))/($F14-2),0)),0),"")</f>
        <v/>
      </c>
      <c r="CB14" s="12" t="str">
        <f aca="false">IF($G14=1,IF(AND($E14&gt;=4,($F14-3)&gt;0),IF(BW14=1,ROUNDUP(ROUND((MAX($BU$3-BV14,0)-(BY14+BZ14+CA14))/($F14-3),6),0),ROUND((MAX($BU$3-BV14,0)-(BY14+BZ14+CA14))/($F14-3),0)),0),"")</f>
        <v/>
      </c>
      <c r="CC14" s="12" t="str">
        <f aca="false">IF($G14=1,IF(AND($E14&gt;=5,($F14-4)&gt;0),IF(BW14=1,ROUNDUP(ROUND((MAX($BU$3-BV14,0)-(BY14+BZ14+CA14+CB14))/($F14-4),6),0),ROUND((MAX($BU$3-BV14,0)-(BY14+BZ14+CA14+CB14))/($F14-4),0)),0),"")</f>
        <v/>
      </c>
      <c r="CD14" s="12" t="str">
        <f aca="false">IF($G14=1,IF(AND($E14&gt;=1,($F14-0)&gt;0),ROUND((($BU$3-BX14)-(0))/($F14-0),0),0),"")</f>
        <v/>
      </c>
      <c r="CE14" s="12" t="str">
        <f aca="false">IF($G14=1,IF(AND($E14&gt;=2,($F14-1)&gt;0),ROUND((($BU$3-BX14)-(CD14))/($F14-1),0),0),"")</f>
        <v/>
      </c>
      <c r="CF14" s="12" t="str">
        <f aca="false">IF($G14=1,IF(AND($E14&gt;=3,($F14-2)&gt;0),ROUND((($BU$3-BX14)-(CD14+CE14))/($F14-2),0),0),"")</f>
        <v/>
      </c>
      <c r="CG14" s="12" t="str">
        <f aca="false">IF($G14=1,IF(AND($E14&gt;=4,($F14-3)&gt;0),ROUND((($BU$3-BX14)-(CD14+CE14+CF14))/($F14-3),0),0),"")</f>
        <v/>
      </c>
      <c r="CH14" s="12" t="str">
        <f aca="false">IF($G14=1,IF(AND($E14&gt;=5,($F14-4)&gt;0),ROUND((($BU$3-BX14)-(CD14+CE14+CF14+CG14))/($F14-4),0),0),"")</f>
        <v/>
      </c>
      <c r="CI14" s="12" t="n">
        <f aca="false">IF($A14="","",IF($G14=1,(CD14+CE14+CF14+CG14+CH14),CI13))</f>
        <v>7</v>
      </c>
      <c r="CJ14" s="12" t="n">
        <f aca="false">IF($A14="","",IF($G14=1,IF('Base de Dados'!$B$7="Sim",(BY14+BZ14+CA14+CB14+CC14),MAX(CI14,(BY14+BZ14+CA14+CB14+CC14))),CJ13))</f>
        <v>10</v>
      </c>
      <c r="CK14" s="12" t="n">
        <f aca="false">IF($A14="","",IF($G14=1,CI14,CK13-N(CL13)))</f>
        <v>1</v>
      </c>
      <c r="CL14" s="12" t="n">
        <f aca="false">IF($C14=1,ROUND(CK14/($E14-$D14+1),0),"")</f>
        <v>1</v>
      </c>
      <c r="CM14" s="12" t="n">
        <f aca="false">IF($C14&lt;&gt;1,"",IF('Base de Dados'!$B$7="Sim",IF(SUMIFS(BU$5:BU13,$B$5:$B13,$B14)&lt;SUMIFS(CL$5:CL13,$B$5:$B13,$B14)-0.000000001,ROUNDUP(ROUND(MAX(CJ14-SUMIFS(BU$5:BU13,$B$5:$B13,$B14),0)/($E14-$D14+1),6),0),ROUND(MAX(CJ14-SUMIFS(BU$5:BU13,$B$5:$B13,$B14),0)/($E14-$D14+1),0)),MAX(CL14,IF(SUMIFS(BU$5:BU13,$B$5:$B13,$B14)&lt;SUMIFS(CL$5:CL13,$B$5:$B13,$B14)-0.000000001,ROUNDUP(ROUND(MAX(CJ14-SUMIFS(BU$5:BU13,$B$5:$B13,$B14),0)/($E14-$D14+1),6),0),ROUND(MAX(CJ14-SUMIFS(BU$5:BU13,$B$5:$B13,$B14),0)/($E14-$D14+1),0)))))</f>
        <v>10</v>
      </c>
    </row>
    <row r="15" customFormat="false" ht="15" hidden="false" customHeight="false" outlineLevel="0" collapsed="false">
      <c r="A15" s="7" t="n">
        <f aca="false">IF($E$2+9&lt;=EOMONTH($E$2,0),$E$2+9,"")</f>
        <v>46305</v>
      </c>
      <c r="B15" s="41" t="n">
        <f aca="false">IF(A15="","",IF(COUNTIFS(H$6:H$36,H15,C$6:C$36,1)=0,"",IF(H15=H14,B14,1+MAX(B$5:B14))))</f>
        <v>2</v>
      </c>
      <c r="C15" s="41" t="n">
        <f aca="false">IF(A15="",0,IF(AND(WEEKDAY(A15,2)&lt;=5,COUNTIF(Folgas!$A$5:$A$300,A15)=0),1,0))</f>
        <v>0</v>
      </c>
      <c r="D15" s="41" t="n">
        <f aca="false">IF(C15=1,COUNTIFS(B$6:B15,B15,C$6:C15,1),0)</f>
        <v>0</v>
      </c>
      <c r="E15" s="41" t="n">
        <f aca="false">IF(OR(A15="",B15=""),0,COUNTIFS(B$6:B$36,B15,C$6:C$36,1))</f>
        <v>5</v>
      </c>
      <c r="F15" s="41" t="n">
        <f aca="false">IF(OR(A15="",B15=""),0,COUNTIFS(B$6:B$36,"&gt;="&amp;B15,C$6:C$36,1))</f>
        <v>19</v>
      </c>
      <c r="G15" s="41" t="n">
        <f aca="false">IF(OR(A15="",B15=""),0,IF(B15=B14,0,1))</f>
        <v>0</v>
      </c>
      <c r="H15" s="41" t="n">
        <f aca="false">IF(A15="","",INT((A15-$E$3)/7)+1)</f>
        <v>2</v>
      </c>
      <c r="J15" s="13" t="n">
        <f aca="false">IF($A15="",0,IF('Meta Diária'!G15&lt;&gt;"",'Meta Diária'!G15,IF(AND($C15=1,$A15&gt;='Base de Dados'!$B$6),O15,0)))</f>
        <v>0</v>
      </c>
      <c r="K15" s="13" t="n">
        <f aca="false">K14+J14</f>
        <v>0</v>
      </c>
      <c r="L15" s="13" t="n">
        <f aca="false">IF($A15="","",IF($G15=1,IF($B$2=0,0,$J$3*$E15/$B$2),L14))</f>
        <v>7142.85714285714</v>
      </c>
      <c r="M15" s="13" t="n">
        <f aca="false">IF($A15="","",IF($G15=1,IF('Base de Dados'!$B$7="Sim",IF($F15=0,0,MAX($J$3-K15,0)*$E15/$F15),MAX(L15,IF($F15=0,0,MAX($J$3-K15,0)*$E15/$F15))),M14))</f>
        <v>7894.73684210526</v>
      </c>
      <c r="N15" s="13" t="str">
        <f aca="false">IF($C15=1,M15/$E15,"")</f>
        <v/>
      </c>
      <c r="O15" s="13" t="str">
        <f aca="false">IF($C15&lt;&gt;1,"",IF('Base de Dados'!$B$7="Sim",MAX(M15-SUMIFS(J$5:J14,$B$5:$B14,$B15),0)/($E15-$D15+1),MAX(N15,MAX(M15-SUMIFS(J$5:J14,$B$5:$B14,$B15),0)/($E15-$D15+1))))</f>
        <v/>
      </c>
      <c r="P15" s="12" t="n">
        <f aca="false">IF($A15="",0,IF('Meta Diária'!I15&lt;&gt;"",'Meta Diária'!I15,IF(AND($C15=1,$A15&gt;='Base de Dados'!$B$6),AH15,0)))</f>
        <v>0</v>
      </c>
      <c r="Q15" s="12" t="n">
        <f aca="false">Q14+P14</f>
        <v>0</v>
      </c>
      <c r="R15" s="41" t="str">
        <f aca="false">IF($G15=1,IF(Q15&lt;S15-0.000000001,1,0),"")</f>
        <v/>
      </c>
      <c r="S15" s="12" t="str">
        <f aca="false">IF($G15=1,SUMIFS(AD$5:AD14,$G$5:$G14,1),"")</f>
        <v/>
      </c>
      <c r="T15" s="12" t="str">
        <f aca="false">IF($G15=1,IF(AND($E15&gt;=1,($F15-0)&gt;0),IF(R15=1,ROUNDUP(ROUND((MAX($P$3-Q15,0)-(0))/($F15-0),6),0),ROUND((MAX($P$3-Q15,0)-(0))/($F15-0),0)),0),"")</f>
        <v/>
      </c>
      <c r="U15" s="12" t="str">
        <f aca="false">IF($G15=1,IF(AND($E15&gt;=2,($F15-1)&gt;0),IF(R15=1,ROUNDUP(ROUND((MAX($P$3-Q15,0)-(T15))/($F15-1),6),0),ROUND((MAX($P$3-Q15,0)-(T15))/($F15-1),0)),0),"")</f>
        <v/>
      </c>
      <c r="V15" s="12" t="str">
        <f aca="false">IF($G15=1,IF(AND($E15&gt;=3,($F15-2)&gt;0),IF(R15=1,ROUNDUP(ROUND((MAX($P$3-Q15,0)-(T15+U15))/($F15-2),6),0),ROUND((MAX($P$3-Q15,0)-(T15+U15))/($F15-2),0)),0),"")</f>
        <v/>
      </c>
      <c r="W15" s="12" t="str">
        <f aca="false">IF($G15=1,IF(AND($E15&gt;=4,($F15-3)&gt;0),IF(R15=1,ROUNDUP(ROUND((MAX($P$3-Q15,0)-(T15+U15+V15))/($F15-3),6),0),ROUND((MAX($P$3-Q15,0)-(T15+U15+V15))/($F15-3),0)),0),"")</f>
        <v/>
      </c>
      <c r="X15" s="12" t="str">
        <f aca="false">IF($G15=1,IF(AND($E15&gt;=5,($F15-4)&gt;0),IF(R15=1,ROUNDUP(ROUND((MAX($P$3-Q15,0)-(T15+U15+V15+W15))/($F15-4),6),0),ROUND((MAX($P$3-Q15,0)-(T15+U15+V15+W15))/($F15-4),0)),0),"")</f>
        <v/>
      </c>
      <c r="Y15" s="12" t="str">
        <f aca="false">IF($G15=1,IF(AND($E15&gt;=1,($F15-0)&gt;0),ROUND((($P$3-S15)-(0))/($F15-0),0),0),"")</f>
        <v/>
      </c>
      <c r="Z15" s="12" t="str">
        <f aca="false">IF($G15=1,IF(AND($E15&gt;=2,($F15-1)&gt;0),ROUND((($P$3-S15)-(Y15))/($F15-1),0),0),"")</f>
        <v/>
      </c>
      <c r="AA15" s="12" t="str">
        <f aca="false">IF($G15=1,IF(AND($E15&gt;=3,($F15-2)&gt;0),ROUND((($P$3-S15)-(Y15+Z15))/($F15-2),0),0),"")</f>
        <v/>
      </c>
      <c r="AB15" s="12" t="str">
        <f aca="false">IF($G15=1,IF(AND($E15&gt;=4,($F15-3)&gt;0),ROUND((($P$3-S15)-(Y15+Z15+AA15))/($F15-3),0),0),"")</f>
        <v/>
      </c>
      <c r="AC15" s="12" t="str">
        <f aca="false">IF($G15=1,IF(AND($E15&gt;=5,($F15-4)&gt;0),ROUND((($P$3-S15)-(Y15+Z15+AA15+AB15))/($F15-4),0),0),"")</f>
        <v/>
      </c>
      <c r="AD15" s="12" t="n">
        <f aca="false">IF($A15="","",IF($G15=1,(Y15+Z15+AA15+AB15+AC15),AD14))</f>
        <v>205</v>
      </c>
      <c r="AE15" s="12" t="n">
        <f aca="false">IF($A15="","",IF($G15=1,IF('Base de Dados'!$B$7="Sim",(T15+U15+V15+W15+X15),MAX(AD15,(T15+U15+V15+W15+X15))),AE14))</f>
        <v>228</v>
      </c>
      <c r="AF15" s="12" t="n">
        <f aca="false">IF($A15="","",IF($G15=1,AD15,AF14-N(AG14)))</f>
        <v>0</v>
      </c>
      <c r="AG15" s="12" t="str">
        <f aca="false">IF($C15=1,ROUND(AF15/($E15-$D15+1),0),"")</f>
        <v/>
      </c>
      <c r="AH15" s="12" t="str">
        <f aca="false">IF($C15&lt;&gt;1,"",IF('Base de Dados'!$B$7="Sim",IF(SUMIFS(P$5:P14,$B$5:$B14,$B15)&lt;SUMIFS(AG$5:AG14,$B$5:$B14,$B15)-0.000000001,ROUNDUP(ROUND(MAX(AE15-SUMIFS(P$5:P14,$B$5:$B14,$B15),0)/($E15-$D15+1),6),0),ROUND(MAX(AE15-SUMIFS(P$5:P14,$B$5:$B14,$B15),0)/($E15-$D15+1),0)),MAX(AG15,IF(SUMIFS(P$5:P14,$B$5:$B14,$B15)&lt;SUMIFS(AG$5:AG14,$B$5:$B14,$B15)-0.000000001,ROUNDUP(ROUND(MAX(AE15-SUMIFS(P$5:P14,$B$5:$B14,$B15),0)/($E15-$D15+1),6),0),ROUND(MAX(AE15-SUMIFS(P$5:P14,$B$5:$B14,$B15),0)/($E15-$D15+1),0)))))</f>
        <v/>
      </c>
      <c r="AI15" s="12" t="n">
        <f aca="false">IF($A15="",0,IF('Meta Diária'!K15&lt;&gt;"",'Meta Diária'!K15,IF(AND($C15=1,$A15&gt;='Base de Dados'!$B$6),BA15,0)))</f>
        <v>0</v>
      </c>
      <c r="AJ15" s="12" t="n">
        <f aca="false">AJ14+AI14</f>
        <v>0</v>
      </c>
      <c r="AK15" s="41" t="str">
        <f aca="false">IF($G15=1,IF(AJ15&lt;AL15-0.000000001,1,0),"")</f>
        <v/>
      </c>
      <c r="AL15" s="12" t="str">
        <f aca="false">IF($G15=1,SUMIFS(AW$5:AW14,$G$5:$G14,1),"")</f>
        <v/>
      </c>
      <c r="AM15" s="12" t="str">
        <f aca="false">IF($G15=1,IF(AND($E15&gt;=1,($F15-0)&gt;0),IF(AK15=1,ROUNDUP(ROUND((MAX($AI$3-AJ15,0)-(0))/($F15-0),6),0),ROUND((MAX($AI$3-AJ15,0)-(0))/($F15-0),0)),0),"")</f>
        <v/>
      </c>
      <c r="AN15" s="12" t="str">
        <f aca="false">IF($G15=1,IF(AND($E15&gt;=2,($F15-1)&gt;0),IF(AK15=1,ROUNDUP(ROUND((MAX($AI$3-AJ15,0)-(AM15))/($F15-1),6),0),ROUND((MAX($AI$3-AJ15,0)-(AM15))/($F15-1),0)),0),"")</f>
        <v/>
      </c>
      <c r="AO15" s="12" t="str">
        <f aca="false">IF($G15=1,IF(AND($E15&gt;=3,($F15-2)&gt;0),IF(AK15=1,ROUNDUP(ROUND((MAX($AI$3-AJ15,0)-(AM15+AN15))/($F15-2),6),0),ROUND((MAX($AI$3-AJ15,0)-(AM15+AN15))/($F15-2),0)),0),"")</f>
        <v/>
      </c>
      <c r="AP15" s="12" t="str">
        <f aca="false">IF($G15=1,IF(AND($E15&gt;=4,($F15-3)&gt;0),IF(AK15=1,ROUNDUP(ROUND((MAX($AI$3-AJ15,0)-(AM15+AN15+AO15))/($F15-3),6),0),ROUND((MAX($AI$3-AJ15,0)-(AM15+AN15+AO15))/($F15-3),0)),0),"")</f>
        <v/>
      </c>
      <c r="AQ15" s="12" t="str">
        <f aca="false">IF($G15=1,IF(AND($E15&gt;=5,($F15-4)&gt;0),IF(AK15=1,ROUNDUP(ROUND((MAX($AI$3-AJ15,0)-(AM15+AN15+AO15+AP15))/($F15-4),6),0),ROUND((MAX($AI$3-AJ15,0)-(AM15+AN15+AO15+AP15))/($F15-4),0)),0),"")</f>
        <v/>
      </c>
      <c r="AR15" s="12" t="str">
        <f aca="false">IF($G15=1,IF(AND($E15&gt;=1,($F15-0)&gt;0),ROUND((($AI$3-AL15)-(0))/($F15-0),0),0),"")</f>
        <v/>
      </c>
      <c r="AS15" s="12" t="str">
        <f aca="false">IF($G15=1,IF(AND($E15&gt;=2,($F15-1)&gt;0),ROUND((($AI$3-AL15)-(AR15))/($F15-1),0),0),"")</f>
        <v/>
      </c>
      <c r="AT15" s="12" t="str">
        <f aca="false">IF($G15=1,IF(AND($E15&gt;=3,($F15-2)&gt;0),ROUND((($AI$3-AL15)-(AR15+AS15))/($F15-2),0),0),"")</f>
        <v/>
      </c>
      <c r="AU15" s="12" t="str">
        <f aca="false">IF($G15=1,IF(AND($E15&gt;=4,($F15-3)&gt;0),ROUND((($AI$3-AL15)-(AR15+AS15+AT15))/($F15-3),0),0),"")</f>
        <v/>
      </c>
      <c r="AV15" s="12" t="str">
        <f aca="false">IF($G15=1,IF(AND($E15&gt;=5,($F15-4)&gt;0),ROUND((($AI$3-AL15)-(AR15+AS15+AT15+AU15))/($F15-4),0),0),"")</f>
        <v/>
      </c>
      <c r="AW15" s="12" t="n">
        <f aca="false">IF($A15="","",IF($G15=1,(AR15+AS15+AT15+AU15+AV15),AW14))</f>
        <v>40</v>
      </c>
      <c r="AX15" s="12" t="n">
        <f aca="false">IF($A15="","",IF($G15=1,IF('Base de Dados'!$B$7="Sim",(AM15+AN15+AO15+AP15+AQ15),MAX(AW15,(AM15+AN15+AO15+AP15+AQ15))),AX14))</f>
        <v>46</v>
      </c>
      <c r="AY15" s="12" t="n">
        <f aca="false">IF($A15="","",IF($G15=1,AW15,AY14-N(AZ14)))</f>
        <v>0</v>
      </c>
      <c r="AZ15" s="12" t="str">
        <f aca="false">IF($C15=1,ROUND(AY15/($E15-$D15+1),0),"")</f>
        <v/>
      </c>
      <c r="BA15" s="12" t="str">
        <f aca="false">IF($C15&lt;&gt;1,"",IF('Base de Dados'!$B$7="Sim",IF(SUMIFS(AI$5:AI14,$B$5:$B14,$B15)&lt;SUMIFS(AZ$5:AZ14,$B$5:$B14,$B15)-0.000000001,ROUNDUP(ROUND(MAX(AX15-SUMIFS(AI$5:AI14,$B$5:$B14,$B15),0)/($E15-$D15+1),6),0),ROUND(MAX(AX15-SUMIFS(AI$5:AI14,$B$5:$B14,$B15),0)/($E15-$D15+1),0)),MAX(AZ15,IF(SUMIFS(AI$5:AI14,$B$5:$B14,$B15)&lt;SUMIFS(AZ$5:AZ14,$B$5:$B14,$B15)-0.000000001,ROUNDUP(ROUND(MAX(AX15-SUMIFS(AI$5:AI14,$B$5:$B14,$B15),0)/($E15-$D15+1),6),0),ROUND(MAX(AX15-SUMIFS(AI$5:AI14,$B$5:$B14,$B15),0)/($E15-$D15+1),0)))))</f>
        <v/>
      </c>
      <c r="BB15" s="12" t="n">
        <f aca="false">IF($A15="",0,IF('Meta Diária'!M15&lt;&gt;"",'Meta Diária'!M15,IF(AND($C15=1,$A15&gt;='Base de Dados'!$B$6),BT15,0)))</f>
        <v>0</v>
      </c>
      <c r="BC15" s="12" t="n">
        <f aca="false">BC14+BB14</f>
        <v>0</v>
      </c>
      <c r="BD15" s="41" t="str">
        <f aca="false">IF($G15=1,IF(BC15&lt;BE15-0.000000001,1,0),"")</f>
        <v/>
      </c>
      <c r="BE15" s="12" t="str">
        <f aca="false">IF($G15=1,SUMIFS(BP$5:BP14,$G$5:$G14,1),"")</f>
        <v/>
      </c>
      <c r="BF15" s="12" t="str">
        <f aca="false">IF($G15=1,IF(AND($E15&gt;=1,($F15-0)&gt;0),IF(BD15=1,ROUNDUP(ROUND((MAX($BB$3-BC15,0)-(0))/($F15-0),6),0),ROUND((MAX($BB$3-BC15,0)-(0))/($F15-0),0)),0),"")</f>
        <v/>
      </c>
      <c r="BG15" s="12" t="str">
        <f aca="false">IF($G15=1,IF(AND($E15&gt;=2,($F15-1)&gt;0),IF(BD15=1,ROUNDUP(ROUND((MAX($BB$3-BC15,0)-(BF15))/($F15-1),6),0),ROUND((MAX($BB$3-BC15,0)-(BF15))/($F15-1),0)),0),"")</f>
        <v/>
      </c>
      <c r="BH15" s="12" t="str">
        <f aca="false">IF($G15=1,IF(AND($E15&gt;=3,($F15-2)&gt;0),IF(BD15=1,ROUNDUP(ROUND((MAX($BB$3-BC15,0)-(BF15+BG15))/($F15-2),6),0),ROUND((MAX($BB$3-BC15,0)-(BF15+BG15))/($F15-2),0)),0),"")</f>
        <v/>
      </c>
      <c r="BI15" s="12" t="str">
        <f aca="false">IF($G15=1,IF(AND($E15&gt;=4,($F15-3)&gt;0),IF(BD15=1,ROUNDUP(ROUND((MAX($BB$3-BC15,0)-(BF15+BG15+BH15))/($F15-3),6),0),ROUND((MAX($BB$3-BC15,0)-(BF15+BG15+BH15))/($F15-3),0)),0),"")</f>
        <v/>
      </c>
      <c r="BJ15" s="12" t="str">
        <f aca="false">IF($G15=1,IF(AND($E15&gt;=5,($F15-4)&gt;0),IF(BD15=1,ROUNDUP(ROUND((MAX($BB$3-BC15,0)-(BF15+BG15+BH15+BI15))/($F15-4),6),0),ROUND((MAX($BB$3-BC15,0)-(BF15+BG15+BH15+BI15))/($F15-4),0)),0),"")</f>
        <v/>
      </c>
      <c r="BK15" s="12" t="str">
        <f aca="false">IF($G15=1,IF(AND($E15&gt;=1,($F15-0)&gt;0),ROUND((($BB$3-BE15)-(0))/($F15-0),0),0),"")</f>
        <v/>
      </c>
      <c r="BL15" s="12" t="str">
        <f aca="false">IF($G15=1,IF(AND($E15&gt;=2,($F15-1)&gt;0),ROUND((($BB$3-BE15)-(BK15))/($F15-1),0),0),"")</f>
        <v/>
      </c>
      <c r="BM15" s="12" t="str">
        <f aca="false">IF($G15=1,IF(AND($E15&gt;=3,($F15-2)&gt;0),ROUND((($BB$3-BE15)-(BK15+BL15))/($F15-2),0),0),"")</f>
        <v/>
      </c>
      <c r="BN15" s="12" t="str">
        <f aca="false">IF($G15=1,IF(AND($E15&gt;=4,($F15-3)&gt;0),ROUND((($BB$3-BE15)-(BK15+BL15+BM15))/($F15-3),0),0),"")</f>
        <v/>
      </c>
      <c r="BO15" s="12" t="str">
        <f aca="false">IF($G15=1,IF(AND($E15&gt;=5,($F15-4)&gt;0),ROUND((($BB$3-BE15)-(BK15+BL15+BM15+BN15))/($F15-4),0),0),"")</f>
        <v/>
      </c>
      <c r="BP15" s="12" t="n">
        <f aca="false">IF($A15="","",IF($G15=1,(BK15+BL15+BM15+BN15+BO15),BP14))</f>
        <v>25</v>
      </c>
      <c r="BQ15" s="12" t="n">
        <f aca="false">IF($A15="","",IF($G15=1,IF('Base de Dados'!$B$7="Sim",(BF15+BG15+BH15+BI15+BJ15),MAX(BP15,(BF15+BG15+BH15+BI15+BJ15))),BQ14))</f>
        <v>30</v>
      </c>
      <c r="BR15" s="12" t="n">
        <f aca="false">IF($A15="","",IF($G15=1,BP15,BR14-N(BS14)))</f>
        <v>0</v>
      </c>
      <c r="BS15" s="12" t="str">
        <f aca="false">IF($C15=1,ROUND(BR15/($E15-$D15+1),0),"")</f>
        <v/>
      </c>
      <c r="BT15" s="12" t="str">
        <f aca="false">IF($C15&lt;&gt;1,"",IF('Base de Dados'!$B$7="Sim",IF(SUMIFS(BB$5:BB14,$B$5:$B14,$B15)&lt;SUMIFS(BS$5:BS14,$B$5:$B14,$B15)-0.000000001,ROUNDUP(ROUND(MAX(BQ15-SUMIFS(BB$5:BB14,$B$5:$B14,$B15),0)/($E15-$D15+1),6),0),ROUND(MAX(BQ15-SUMIFS(BB$5:BB14,$B$5:$B14,$B15),0)/($E15-$D15+1),0)),MAX(BS15,IF(SUMIFS(BB$5:BB14,$B$5:$B14,$B15)&lt;SUMIFS(BS$5:BS14,$B$5:$B14,$B15)-0.000000001,ROUNDUP(ROUND(MAX(BQ15-SUMIFS(BB$5:BB14,$B$5:$B14,$B15),0)/($E15-$D15+1),6),0),ROUND(MAX(BQ15-SUMIFS(BB$5:BB14,$B$5:$B14,$B15),0)/($E15-$D15+1),0)))))</f>
        <v/>
      </c>
      <c r="BU15" s="12" t="n">
        <f aca="false">IF($A15="",0,IF('Meta Diária'!O15&lt;&gt;"",'Meta Diária'!O15,IF(AND($C15=1,$A15&gt;='Base de Dados'!$B$6),CM15,0)))</f>
        <v>0</v>
      </c>
      <c r="BV15" s="12" t="n">
        <f aca="false">BV14+BU14</f>
        <v>0</v>
      </c>
      <c r="BW15" s="41" t="str">
        <f aca="false">IF($G15=1,IF(BV15&lt;BX15-0.000000001,1,0),"")</f>
        <v/>
      </c>
      <c r="BX15" s="12" t="str">
        <f aca="false">IF($G15=1,SUMIFS(CI$5:CI14,$G$5:$G14,1),"")</f>
        <v/>
      </c>
      <c r="BY15" s="12" t="str">
        <f aca="false">IF($G15=1,IF(AND($E15&gt;=1,($F15-0)&gt;0),IF(BW15=1,ROUNDUP(ROUND((MAX($BU$3-BV15,0)-(0))/($F15-0),6),0),ROUND((MAX($BU$3-BV15,0)-(0))/($F15-0),0)),0),"")</f>
        <v/>
      </c>
      <c r="BZ15" s="12" t="str">
        <f aca="false">IF($G15=1,IF(AND($E15&gt;=2,($F15-1)&gt;0),IF(BW15=1,ROUNDUP(ROUND((MAX($BU$3-BV15,0)-(BY15))/($F15-1),6),0),ROUND((MAX($BU$3-BV15,0)-(BY15))/($F15-1),0)),0),"")</f>
        <v/>
      </c>
      <c r="CA15" s="12" t="str">
        <f aca="false">IF($G15=1,IF(AND($E15&gt;=3,($F15-2)&gt;0),IF(BW15=1,ROUNDUP(ROUND((MAX($BU$3-BV15,0)-(BY15+BZ15))/($F15-2),6),0),ROUND((MAX($BU$3-BV15,0)-(BY15+BZ15))/($F15-2),0)),0),"")</f>
        <v/>
      </c>
      <c r="CB15" s="12" t="str">
        <f aca="false">IF($G15=1,IF(AND($E15&gt;=4,($F15-3)&gt;0),IF(BW15=1,ROUNDUP(ROUND((MAX($BU$3-BV15,0)-(BY15+BZ15+CA15))/($F15-3),6),0),ROUND((MAX($BU$3-BV15,0)-(BY15+BZ15+CA15))/($F15-3),0)),0),"")</f>
        <v/>
      </c>
      <c r="CC15" s="12" t="str">
        <f aca="false">IF($G15=1,IF(AND($E15&gt;=5,($F15-4)&gt;0),IF(BW15=1,ROUNDUP(ROUND((MAX($BU$3-BV15,0)-(BY15+BZ15+CA15+CB15))/($F15-4),6),0),ROUND((MAX($BU$3-BV15,0)-(BY15+BZ15+CA15+CB15))/($F15-4),0)),0),"")</f>
        <v/>
      </c>
      <c r="CD15" s="12" t="str">
        <f aca="false">IF($G15=1,IF(AND($E15&gt;=1,($F15-0)&gt;0),ROUND((($BU$3-BX15)-(0))/($F15-0),0),0),"")</f>
        <v/>
      </c>
      <c r="CE15" s="12" t="str">
        <f aca="false">IF($G15=1,IF(AND($E15&gt;=2,($F15-1)&gt;0),ROUND((($BU$3-BX15)-(CD15))/($F15-1),0),0),"")</f>
        <v/>
      </c>
      <c r="CF15" s="12" t="str">
        <f aca="false">IF($G15=1,IF(AND($E15&gt;=3,($F15-2)&gt;0),ROUND((($BU$3-BX15)-(CD15+CE15))/($F15-2),0),0),"")</f>
        <v/>
      </c>
      <c r="CG15" s="12" t="str">
        <f aca="false">IF($G15=1,IF(AND($E15&gt;=4,($F15-3)&gt;0),ROUND((($BU$3-BX15)-(CD15+CE15+CF15))/($F15-3),0),0),"")</f>
        <v/>
      </c>
      <c r="CH15" s="12" t="str">
        <f aca="false">IF($G15=1,IF(AND($E15&gt;=5,($F15-4)&gt;0),ROUND((($BU$3-BX15)-(CD15+CE15+CF15+CG15))/($F15-4),0),0),"")</f>
        <v/>
      </c>
      <c r="CI15" s="12" t="n">
        <f aca="false">IF($A15="","",IF($G15=1,(CD15+CE15+CF15+CG15+CH15),CI14))</f>
        <v>7</v>
      </c>
      <c r="CJ15" s="12" t="n">
        <f aca="false">IF($A15="","",IF($G15=1,IF('Base de Dados'!$B$7="Sim",(BY15+BZ15+CA15+CB15+CC15),MAX(CI15,(BY15+BZ15+CA15+CB15+CC15))),CJ14))</f>
        <v>10</v>
      </c>
      <c r="CK15" s="12" t="n">
        <f aca="false">IF($A15="","",IF($G15=1,CI15,CK14-N(CL14)))</f>
        <v>0</v>
      </c>
      <c r="CL15" s="12" t="str">
        <f aca="false">IF($C15=1,ROUND(CK15/($E15-$D15+1),0),"")</f>
        <v/>
      </c>
      <c r="CM15" s="12" t="str">
        <f aca="false">IF($C15&lt;&gt;1,"",IF('Base de Dados'!$B$7="Sim",IF(SUMIFS(BU$5:BU14,$B$5:$B14,$B15)&lt;SUMIFS(CL$5:CL14,$B$5:$B14,$B15)-0.000000001,ROUNDUP(ROUND(MAX(CJ15-SUMIFS(BU$5:BU14,$B$5:$B14,$B15),0)/($E15-$D15+1),6),0),ROUND(MAX(CJ15-SUMIFS(BU$5:BU14,$B$5:$B14,$B15),0)/($E15-$D15+1),0)),MAX(CL15,IF(SUMIFS(BU$5:BU14,$B$5:$B14,$B15)&lt;SUMIFS(CL$5:CL14,$B$5:$B14,$B15)-0.000000001,ROUNDUP(ROUND(MAX(CJ15-SUMIFS(BU$5:BU14,$B$5:$B14,$B15),0)/($E15-$D15+1),6),0),ROUND(MAX(CJ15-SUMIFS(BU$5:BU14,$B$5:$B14,$B15),0)/($E15-$D15+1),0)))))</f>
        <v/>
      </c>
    </row>
    <row r="16" customFormat="false" ht="15" hidden="false" customHeight="false" outlineLevel="0" collapsed="false">
      <c r="A16" s="7" t="n">
        <f aca="false">IF($E$2+10&lt;=EOMONTH($E$2,0),$E$2+10,"")</f>
        <v>46306</v>
      </c>
      <c r="B16" s="41" t="n">
        <f aca="false">IF(A16="","",IF(COUNTIFS(H$6:H$36,H16,C$6:C$36,1)=0,"",IF(H16=H15,B15,1+MAX(B$5:B15))))</f>
        <v>2</v>
      </c>
      <c r="C16" s="41" t="n">
        <f aca="false">IF(A16="",0,IF(AND(WEEKDAY(A16,2)&lt;=5,COUNTIF(Folgas!$A$5:$A$300,A16)=0),1,0))</f>
        <v>0</v>
      </c>
      <c r="D16" s="41" t="n">
        <f aca="false">IF(C16=1,COUNTIFS(B$6:B16,B16,C$6:C16,1),0)</f>
        <v>0</v>
      </c>
      <c r="E16" s="41" t="n">
        <f aca="false">IF(OR(A16="",B16=""),0,COUNTIFS(B$6:B$36,B16,C$6:C$36,1))</f>
        <v>5</v>
      </c>
      <c r="F16" s="41" t="n">
        <f aca="false">IF(OR(A16="",B16=""),0,COUNTIFS(B$6:B$36,"&gt;="&amp;B16,C$6:C$36,1))</f>
        <v>19</v>
      </c>
      <c r="G16" s="41" t="n">
        <f aca="false">IF(OR(A16="",B16=""),0,IF(B16=B15,0,1))</f>
        <v>0</v>
      </c>
      <c r="H16" s="41" t="n">
        <f aca="false">IF(A16="","",INT((A16-$E$3)/7)+1)</f>
        <v>2</v>
      </c>
      <c r="J16" s="13" t="n">
        <f aca="false">IF($A16="",0,IF('Meta Diária'!G16&lt;&gt;"",'Meta Diária'!G16,IF(AND($C16=1,$A16&gt;='Base de Dados'!$B$6),O16,0)))</f>
        <v>0</v>
      </c>
      <c r="K16" s="13" t="n">
        <f aca="false">K15+J15</f>
        <v>0</v>
      </c>
      <c r="L16" s="13" t="n">
        <f aca="false">IF($A16="","",IF($G16=1,IF($B$2=0,0,$J$3*$E16/$B$2),L15))</f>
        <v>7142.85714285714</v>
      </c>
      <c r="M16" s="13" t="n">
        <f aca="false">IF($A16="","",IF($G16=1,IF('Base de Dados'!$B$7="Sim",IF($F16=0,0,MAX($J$3-K16,0)*$E16/$F16),MAX(L16,IF($F16=0,0,MAX($J$3-K16,0)*$E16/$F16))),M15))</f>
        <v>7894.73684210526</v>
      </c>
      <c r="N16" s="13" t="str">
        <f aca="false">IF($C16=1,M16/$E16,"")</f>
        <v/>
      </c>
      <c r="O16" s="13" t="str">
        <f aca="false">IF($C16&lt;&gt;1,"",IF('Base de Dados'!$B$7="Sim",MAX(M16-SUMIFS(J$5:J15,$B$5:$B15,$B16),0)/($E16-$D16+1),MAX(N16,MAX(M16-SUMIFS(J$5:J15,$B$5:$B15,$B16),0)/($E16-$D16+1))))</f>
        <v/>
      </c>
      <c r="P16" s="12" t="n">
        <f aca="false">IF($A16="",0,IF('Meta Diária'!I16&lt;&gt;"",'Meta Diária'!I16,IF(AND($C16=1,$A16&gt;='Base de Dados'!$B$6),AH16,0)))</f>
        <v>0</v>
      </c>
      <c r="Q16" s="12" t="n">
        <f aca="false">Q15+P15</f>
        <v>0</v>
      </c>
      <c r="R16" s="41" t="str">
        <f aca="false">IF($G16=1,IF(Q16&lt;S16-0.000000001,1,0),"")</f>
        <v/>
      </c>
      <c r="S16" s="12" t="str">
        <f aca="false">IF($G16=1,SUMIFS(AD$5:AD15,$G$5:$G15,1),"")</f>
        <v/>
      </c>
      <c r="T16" s="12" t="str">
        <f aca="false">IF($G16=1,IF(AND($E16&gt;=1,($F16-0)&gt;0),IF(R16=1,ROUNDUP(ROUND((MAX($P$3-Q16,0)-(0))/($F16-0),6),0),ROUND((MAX($P$3-Q16,0)-(0))/($F16-0),0)),0),"")</f>
        <v/>
      </c>
      <c r="U16" s="12" t="str">
        <f aca="false">IF($G16=1,IF(AND($E16&gt;=2,($F16-1)&gt;0),IF(R16=1,ROUNDUP(ROUND((MAX($P$3-Q16,0)-(T16))/($F16-1),6),0),ROUND((MAX($P$3-Q16,0)-(T16))/($F16-1),0)),0),"")</f>
        <v/>
      </c>
      <c r="V16" s="12" t="str">
        <f aca="false">IF($G16=1,IF(AND($E16&gt;=3,($F16-2)&gt;0),IF(R16=1,ROUNDUP(ROUND((MAX($P$3-Q16,0)-(T16+U16))/($F16-2),6),0),ROUND((MAX($P$3-Q16,0)-(T16+U16))/($F16-2),0)),0),"")</f>
        <v/>
      </c>
      <c r="W16" s="12" t="str">
        <f aca="false">IF($G16=1,IF(AND($E16&gt;=4,($F16-3)&gt;0),IF(R16=1,ROUNDUP(ROUND((MAX($P$3-Q16,0)-(T16+U16+V16))/($F16-3),6),0),ROUND((MAX($P$3-Q16,0)-(T16+U16+V16))/($F16-3),0)),0),"")</f>
        <v/>
      </c>
      <c r="X16" s="12" t="str">
        <f aca="false">IF($G16=1,IF(AND($E16&gt;=5,($F16-4)&gt;0),IF(R16=1,ROUNDUP(ROUND((MAX($P$3-Q16,0)-(T16+U16+V16+W16))/($F16-4),6),0),ROUND((MAX($P$3-Q16,0)-(T16+U16+V16+W16))/($F16-4),0)),0),"")</f>
        <v/>
      </c>
      <c r="Y16" s="12" t="str">
        <f aca="false">IF($G16=1,IF(AND($E16&gt;=1,($F16-0)&gt;0),ROUND((($P$3-S16)-(0))/($F16-0),0),0),"")</f>
        <v/>
      </c>
      <c r="Z16" s="12" t="str">
        <f aca="false">IF($G16=1,IF(AND($E16&gt;=2,($F16-1)&gt;0),ROUND((($P$3-S16)-(Y16))/($F16-1),0),0),"")</f>
        <v/>
      </c>
      <c r="AA16" s="12" t="str">
        <f aca="false">IF($G16=1,IF(AND($E16&gt;=3,($F16-2)&gt;0),ROUND((($P$3-S16)-(Y16+Z16))/($F16-2),0),0),"")</f>
        <v/>
      </c>
      <c r="AB16" s="12" t="str">
        <f aca="false">IF($G16=1,IF(AND($E16&gt;=4,($F16-3)&gt;0),ROUND((($P$3-S16)-(Y16+Z16+AA16))/($F16-3),0),0),"")</f>
        <v/>
      </c>
      <c r="AC16" s="12" t="str">
        <f aca="false">IF($G16=1,IF(AND($E16&gt;=5,($F16-4)&gt;0),ROUND((($P$3-S16)-(Y16+Z16+AA16+AB16))/($F16-4),0),0),"")</f>
        <v/>
      </c>
      <c r="AD16" s="12" t="n">
        <f aca="false">IF($A16="","",IF($G16=1,(Y16+Z16+AA16+AB16+AC16),AD15))</f>
        <v>205</v>
      </c>
      <c r="AE16" s="12" t="n">
        <f aca="false">IF($A16="","",IF($G16=1,IF('Base de Dados'!$B$7="Sim",(T16+U16+V16+W16+X16),MAX(AD16,(T16+U16+V16+W16+X16))),AE15))</f>
        <v>228</v>
      </c>
      <c r="AF16" s="12" t="n">
        <f aca="false">IF($A16="","",IF($G16=1,AD16,AF15-N(AG15)))</f>
        <v>0</v>
      </c>
      <c r="AG16" s="12" t="str">
        <f aca="false">IF($C16=1,ROUND(AF16/($E16-$D16+1),0),"")</f>
        <v/>
      </c>
      <c r="AH16" s="12" t="str">
        <f aca="false">IF($C16&lt;&gt;1,"",IF('Base de Dados'!$B$7="Sim",IF(SUMIFS(P$5:P15,$B$5:$B15,$B16)&lt;SUMIFS(AG$5:AG15,$B$5:$B15,$B16)-0.000000001,ROUNDUP(ROUND(MAX(AE16-SUMIFS(P$5:P15,$B$5:$B15,$B16),0)/($E16-$D16+1),6),0),ROUND(MAX(AE16-SUMIFS(P$5:P15,$B$5:$B15,$B16),0)/($E16-$D16+1),0)),MAX(AG16,IF(SUMIFS(P$5:P15,$B$5:$B15,$B16)&lt;SUMIFS(AG$5:AG15,$B$5:$B15,$B16)-0.000000001,ROUNDUP(ROUND(MAX(AE16-SUMIFS(P$5:P15,$B$5:$B15,$B16),0)/($E16-$D16+1),6),0),ROUND(MAX(AE16-SUMIFS(P$5:P15,$B$5:$B15,$B16),0)/($E16-$D16+1),0)))))</f>
        <v/>
      </c>
      <c r="AI16" s="12" t="n">
        <f aca="false">IF($A16="",0,IF('Meta Diária'!K16&lt;&gt;"",'Meta Diária'!K16,IF(AND($C16=1,$A16&gt;='Base de Dados'!$B$6),BA16,0)))</f>
        <v>0</v>
      </c>
      <c r="AJ16" s="12" t="n">
        <f aca="false">AJ15+AI15</f>
        <v>0</v>
      </c>
      <c r="AK16" s="41" t="str">
        <f aca="false">IF($G16=1,IF(AJ16&lt;AL16-0.000000001,1,0),"")</f>
        <v/>
      </c>
      <c r="AL16" s="12" t="str">
        <f aca="false">IF($G16=1,SUMIFS(AW$5:AW15,$G$5:$G15,1),"")</f>
        <v/>
      </c>
      <c r="AM16" s="12" t="str">
        <f aca="false">IF($G16=1,IF(AND($E16&gt;=1,($F16-0)&gt;0),IF(AK16=1,ROUNDUP(ROUND((MAX($AI$3-AJ16,0)-(0))/($F16-0),6),0),ROUND((MAX($AI$3-AJ16,0)-(0))/($F16-0),0)),0),"")</f>
        <v/>
      </c>
      <c r="AN16" s="12" t="str">
        <f aca="false">IF($G16=1,IF(AND($E16&gt;=2,($F16-1)&gt;0),IF(AK16=1,ROUNDUP(ROUND((MAX($AI$3-AJ16,0)-(AM16))/($F16-1),6),0),ROUND((MAX($AI$3-AJ16,0)-(AM16))/($F16-1),0)),0),"")</f>
        <v/>
      </c>
      <c r="AO16" s="12" t="str">
        <f aca="false">IF($G16=1,IF(AND($E16&gt;=3,($F16-2)&gt;0),IF(AK16=1,ROUNDUP(ROUND((MAX($AI$3-AJ16,0)-(AM16+AN16))/($F16-2),6),0),ROUND((MAX($AI$3-AJ16,0)-(AM16+AN16))/($F16-2),0)),0),"")</f>
        <v/>
      </c>
      <c r="AP16" s="12" t="str">
        <f aca="false">IF($G16=1,IF(AND($E16&gt;=4,($F16-3)&gt;0),IF(AK16=1,ROUNDUP(ROUND((MAX($AI$3-AJ16,0)-(AM16+AN16+AO16))/($F16-3),6),0),ROUND((MAX($AI$3-AJ16,0)-(AM16+AN16+AO16))/($F16-3),0)),0),"")</f>
        <v/>
      </c>
      <c r="AQ16" s="12" t="str">
        <f aca="false">IF($G16=1,IF(AND($E16&gt;=5,($F16-4)&gt;0),IF(AK16=1,ROUNDUP(ROUND((MAX($AI$3-AJ16,0)-(AM16+AN16+AO16+AP16))/($F16-4),6),0),ROUND((MAX($AI$3-AJ16,0)-(AM16+AN16+AO16+AP16))/($F16-4),0)),0),"")</f>
        <v/>
      </c>
      <c r="AR16" s="12" t="str">
        <f aca="false">IF($G16=1,IF(AND($E16&gt;=1,($F16-0)&gt;0),ROUND((($AI$3-AL16)-(0))/($F16-0),0),0),"")</f>
        <v/>
      </c>
      <c r="AS16" s="12" t="str">
        <f aca="false">IF($G16=1,IF(AND($E16&gt;=2,($F16-1)&gt;0),ROUND((($AI$3-AL16)-(AR16))/($F16-1),0),0),"")</f>
        <v/>
      </c>
      <c r="AT16" s="12" t="str">
        <f aca="false">IF($G16=1,IF(AND($E16&gt;=3,($F16-2)&gt;0),ROUND((($AI$3-AL16)-(AR16+AS16))/($F16-2),0),0),"")</f>
        <v/>
      </c>
      <c r="AU16" s="12" t="str">
        <f aca="false">IF($G16=1,IF(AND($E16&gt;=4,($F16-3)&gt;0),ROUND((($AI$3-AL16)-(AR16+AS16+AT16))/($F16-3),0),0),"")</f>
        <v/>
      </c>
      <c r="AV16" s="12" t="str">
        <f aca="false">IF($G16=1,IF(AND($E16&gt;=5,($F16-4)&gt;0),ROUND((($AI$3-AL16)-(AR16+AS16+AT16+AU16))/($F16-4),0),0),"")</f>
        <v/>
      </c>
      <c r="AW16" s="12" t="n">
        <f aca="false">IF($A16="","",IF($G16=1,(AR16+AS16+AT16+AU16+AV16),AW15))</f>
        <v>40</v>
      </c>
      <c r="AX16" s="12" t="n">
        <f aca="false">IF($A16="","",IF($G16=1,IF('Base de Dados'!$B$7="Sim",(AM16+AN16+AO16+AP16+AQ16),MAX(AW16,(AM16+AN16+AO16+AP16+AQ16))),AX15))</f>
        <v>46</v>
      </c>
      <c r="AY16" s="12" t="n">
        <f aca="false">IF($A16="","",IF($G16=1,AW16,AY15-N(AZ15)))</f>
        <v>0</v>
      </c>
      <c r="AZ16" s="12" t="str">
        <f aca="false">IF($C16=1,ROUND(AY16/($E16-$D16+1),0),"")</f>
        <v/>
      </c>
      <c r="BA16" s="12" t="str">
        <f aca="false">IF($C16&lt;&gt;1,"",IF('Base de Dados'!$B$7="Sim",IF(SUMIFS(AI$5:AI15,$B$5:$B15,$B16)&lt;SUMIFS(AZ$5:AZ15,$B$5:$B15,$B16)-0.000000001,ROUNDUP(ROUND(MAX(AX16-SUMIFS(AI$5:AI15,$B$5:$B15,$B16),0)/($E16-$D16+1),6),0),ROUND(MAX(AX16-SUMIFS(AI$5:AI15,$B$5:$B15,$B16),0)/($E16-$D16+1),0)),MAX(AZ16,IF(SUMIFS(AI$5:AI15,$B$5:$B15,$B16)&lt;SUMIFS(AZ$5:AZ15,$B$5:$B15,$B16)-0.000000001,ROUNDUP(ROUND(MAX(AX16-SUMIFS(AI$5:AI15,$B$5:$B15,$B16),0)/($E16-$D16+1),6),0),ROUND(MAX(AX16-SUMIFS(AI$5:AI15,$B$5:$B15,$B16),0)/($E16-$D16+1),0)))))</f>
        <v/>
      </c>
      <c r="BB16" s="12" t="n">
        <f aca="false">IF($A16="",0,IF('Meta Diária'!M16&lt;&gt;"",'Meta Diária'!M16,IF(AND($C16=1,$A16&gt;='Base de Dados'!$B$6),BT16,0)))</f>
        <v>0</v>
      </c>
      <c r="BC16" s="12" t="n">
        <f aca="false">BC15+BB15</f>
        <v>0</v>
      </c>
      <c r="BD16" s="41" t="str">
        <f aca="false">IF($G16=1,IF(BC16&lt;BE16-0.000000001,1,0),"")</f>
        <v/>
      </c>
      <c r="BE16" s="12" t="str">
        <f aca="false">IF($G16=1,SUMIFS(BP$5:BP15,$G$5:$G15,1),"")</f>
        <v/>
      </c>
      <c r="BF16" s="12" t="str">
        <f aca="false">IF($G16=1,IF(AND($E16&gt;=1,($F16-0)&gt;0),IF(BD16=1,ROUNDUP(ROUND((MAX($BB$3-BC16,0)-(0))/($F16-0),6),0),ROUND((MAX($BB$3-BC16,0)-(0))/($F16-0),0)),0),"")</f>
        <v/>
      </c>
      <c r="BG16" s="12" t="str">
        <f aca="false">IF($G16=1,IF(AND($E16&gt;=2,($F16-1)&gt;0),IF(BD16=1,ROUNDUP(ROUND((MAX($BB$3-BC16,0)-(BF16))/($F16-1),6),0),ROUND((MAX($BB$3-BC16,0)-(BF16))/($F16-1),0)),0),"")</f>
        <v/>
      </c>
      <c r="BH16" s="12" t="str">
        <f aca="false">IF($G16=1,IF(AND($E16&gt;=3,($F16-2)&gt;0),IF(BD16=1,ROUNDUP(ROUND((MAX($BB$3-BC16,0)-(BF16+BG16))/($F16-2),6),0),ROUND((MAX($BB$3-BC16,0)-(BF16+BG16))/($F16-2),0)),0),"")</f>
        <v/>
      </c>
      <c r="BI16" s="12" t="str">
        <f aca="false">IF($G16=1,IF(AND($E16&gt;=4,($F16-3)&gt;0),IF(BD16=1,ROUNDUP(ROUND((MAX($BB$3-BC16,0)-(BF16+BG16+BH16))/($F16-3),6),0),ROUND((MAX($BB$3-BC16,0)-(BF16+BG16+BH16))/($F16-3),0)),0),"")</f>
        <v/>
      </c>
      <c r="BJ16" s="12" t="str">
        <f aca="false">IF($G16=1,IF(AND($E16&gt;=5,($F16-4)&gt;0),IF(BD16=1,ROUNDUP(ROUND((MAX($BB$3-BC16,0)-(BF16+BG16+BH16+BI16))/($F16-4),6),0),ROUND((MAX($BB$3-BC16,0)-(BF16+BG16+BH16+BI16))/($F16-4),0)),0),"")</f>
        <v/>
      </c>
      <c r="BK16" s="12" t="str">
        <f aca="false">IF($G16=1,IF(AND($E16&gt;=1,($F16-0)&gt;0),ROUND((($BB$3-BE16)-(0))/($F16-0),0),0),"")</f>
        <v/>
      </c>
      <c r="BL16" s="12" t="str">
        <f aca="false">IF($G16=1,IF(AND($E16&gt;=2,($F16-1)&gt;0),ROUND((($BB$3-BE16)-(BK16))/($F16-1),0),0),"")</f>
        <v/>
      </c>
      <c r="BM16" s="12" t="str">
        <f aca="false">IF($G16=1,IF(AND($E16&gt;=3,($F16-2)&gt;0),ROUND((($BB$3-BE16)-(BK16+BL16))/($F16-2),0),0),"")</f>
        <v/>
      </c>
      <c r="BN16" s="12" t="str">
        <f aca="false">IF($G16=1,IF(AND($E16&gt;=4,($F16-3)&gt;0),ROUND((($BB$3-BE16)-(BK16+BL16+BM16))/($F16-3),0),0),"")</f>
        <v/>
      </c>
      <c r="BO16" s="12" t="str">
        <f aca="false">IF($G16=1,IF(AND($E16&gt;=5,($F16-4)&gt;0),ROUND((($BB$3-BE16)-(BK16+BL16+BM16+BN16))/($F16-4),0),0),"")</f>
        <v/>
      </c>
      <c r="BP16" s="12" t="n">
        <f aca="false">IF($A16="","",IF($G16=1,(BK16+BL16+BM16+BN16+BO16),BP15))</f>
        <v>25</v>
      </c>
      <c r="BQ16" s="12" t="n">
        <f aca="false">IF($A16="","",IF($G16=1,IF('Base de Dados'!$B$7="Sim",(BF16+BG16+BH16+BI16+BJ16),MAX(BP16,(BF16+BG16+BH16+BI16+BJ16))),BQ15))</f>
        <v>30</v>
      </c>
      <c r="BR16" s="12" t="n">
        <f aca="false">IF($A16="","",IF($G16=1,BP16,BR15-N(BS15)))</f>
        <v>0</v>
      </c>
      <c r="BS16" s="12" t="str">
        <f aca="false">IF($C16=1,ROUND(BR16/($E16-$D16+1),0),"")</f>
        <v/>
      </c>
      <c r="BT16" s="12" t="str">
        <f aca="false">IF($C16&lt;&gt;1,"",IF('Base de Dados'!$B$7="Sim",IF(SUMIFS(BB$5:BB15,$B$5:$B15,$B16)&lt;SUMIFS(BS$5:BS15,$B$5:$B15,$B16)-0.000000001,ROUNDUP(ROUND(MAX(BQ16-SUMIFS(BB$5:BB15,$B$5:$B15,$B16),0)/($E16-$D16+1),6),0),ROUND(MAX(BQ16-SUMIFS(BB$5:BB15,$B$5:$B15,$B16),0)/($E16-$D16+1),0)),MAX(BS16,IF(SUMIFS(BB$5:BB15,$B$5:$B15,$B16)&lt;SUMIFS(BS$5:BS15,$B$5:$B15,$B16)-0.000000001,ROUNDUP(ROUND(MAX(BQ16-SUMIFS(BB$5:BB15,$B$5:$B15,$B16),0)/($E16-$D16+1),6),0),ROUND(MAX(BQ16-SUMIFS(BB$5:BB15,$B$5:$B15,$B16),0)/($E16-$D16+1),0)))))</f>
        <v/>
      </c>
      <c r="BU16" s="12" t="n">
        <f aca="false">IF($A16="",0,IF('Meta Diária'!O16&lt;&gt;"",'Meta Diária'!O16,IF(AND($C16=1,$A16&gt;='Base de Dados'!$B$6),CM16,0)))</f>
        <v>0</v>
      </c>
      <c r="BV16" s="12" t="n">
        <f aca="false">BV15+BU15</f>
        <v>0</v>
      </c>
      <c r="BW16" s="41" t="str">
        <f aca="false">IF($G16=1,IF(BV16&lt;BX16-0.000000001,1,0),"")</f>
        <v/>
      </c>
      <c r="BX16" s="12" t="str">
        <f aca="false">IF($G16=1,SUMIFS(CI$5:CI15,$G$5:$G15,1),"")</f>
        <v/>
      </c>
      <c r="BY16" s="12" t="str">
        <f aca="false">IF($G16=1,IF(AND($E16&gt;=1,($F16-0)&gt;0),IF(BW16=1,ROUNDUP(ROUND((MAX($BU$3-BV16,0)-(0))/($F16-0),6),0),ROUND((MAX($BU$3-BV16,0)-(0))/($F16-0),0)),0),"")</f>
        <v/>
      </c>
      <c r="BZ16" s="12" t="str">
        <f aca="false">IF($G16=1,IF(AND($E16&gt;=2,($F16-1)&gt;0),IF(BW16=1,ROUNDUP(ROUND((MAX($BU$3-BV16,0)-(BY16))/($F16-1),6),0),ROUND((MAX($BU$3-BV16,0)-(BY16))/($F16-1),0)),0),"")</f>
        <v/>
      </c>
      <c r="CA16" s="12" t="str">
        <f aca="false">IF($G16=1,IF(AND($E16&gt;=3,($F16-2)&gt;0),IF(BW16=1,ROUNDUP(ROUND((MAX($BU$3-BV16,0)-(BY16+BZ16))/($F16-2),6),0),ROUND((MAX($BU$3-BV16,0)-(BY16+BZ16))/($F16-2),0)),0),"")</f>
        <v/>
      </c>
      <c r="CB16" s="12" t="str">
        <f aca="false">IF($G16=1,IF(AND($E16&gt;=4,($F16-3)&gt;0),IF(BW16=1,ROUNDUP(ROUND((MAX($BU$3-BV16,0)-(BY16+BZ16+CA16))/($F16-3),6),0),ROUND((MAX($BU$3-BV16,0)-(BY16+BZ16+CA16))/($F16-3),0)),0),"")</f>
        <v/>
      </c>
      <c r="CC16" s="12" t="str">
        <f aca="false">IF($G16=1,IF(AND($E16&gt;=5,($F16-4)&gt;0),IF(BW16=1,ROUNDUP(ROUND((MAX($BU$3-BV16,0)-(BY16+BZ16+CA16+CB16))/($F16-4),6),0),ROUND((MAX($BU$3-BV16,0)-(BY16+BZ16+CA16+CB16))/($F16-4),0)),0),"")</f>
        <v/>
      </c>
      <c r="CD16" s="12" t="str">
        <f aca="false">IF($G16=1,IF(AND($E16&gt;=1,($F16-0)&gt;0),ROUND((($BU$3-BX16)-(0))/($F16-0),0),0),"")</f>
        <v/>
      </c>
      <c r="CE16" s="12" t="str">
        <f aca="false">IF($G16=1,IF(AND($E16&gt;=2,($F16-1)&gt;0),ROUND((($BU$3-BX16)-(CD16))/($F16-1),0),0),"")</f>
        <v/>
      </c>
      <c r="CF16" s="12" t="str">
        <f aca="false">IF($G16=1,IF(AND($E16&gt;=3,($F16-2)&gt;0),ROUND((($BU$3-BX16)-(CD16+CE16))/($F16-2),0),0),"")</f>
        <v/>
      </c>
      <c r="CG16" s="12" t="str">
        <f aca="false">IF($G16=1,IF(AND($E16&gt;=4,($F16-3)&gt;0),ROUND((($BU$3-BX16)-(CD16+CE16+CF16))/($F16-3),0),0),"")</f>
        <v/>
      </c>
      <c r="CH16" s="12" t="str">
        <f aca="false">IF($G16=1,IF(AND($E16&gt;=5,($F16-4)&gt;0),ROUND((($BU$3-BX16)-(CD16+CE16+CF16+CG16))/($F16-4),0),0),"")</f>
        <v/>
      </c>
      <c r="CI16" s="12" t="n">
        <f aca="false">IF($A16="","",IF($G16=1,(CD16+CE16+CF16+CG16+CH16),CI15))</f>
        <v>7</v>
      </c>
      <c r="CJ16" s="12" t="n">
        <f aca="false">IF($A16="","",IF($G16=1,IF('Base de Dados'!$B$7="Sim",(BY16+BZ16+CA16+CB16+CC16),MAX(CI16,(BY16+BZ16+CA16+CB16+CC16))),CJ15))</f>
        <v>10</v>
      </c>
      <c r="CK16" s="12" t="n">
        <f aca="false">IF($A16="","",IF($G16=1,CI16,CK15-N(CL15)))</f>
        <v>0</v>
      </c>
      <c r="CL16" s="12" t="str">
        <f aca="false">IF($C16=1,ROUND(CK16/($E16-$D16+1),0),"")</f>
        <v/>
      </c>
      <c r="CM16" s="12" t="str">
        <f aca="false">IF($C16&lt;&gt;1,"",IF('Base de Dados'!$B$7="Sim",IF(SUMIFS(BU$5:BU15,$B$5:$B15,$B16)&lt;SUMIFS(CL$5:CL15,$B$5:$B15,$B16)-0.000000001,ROUNDUP(ROUND(MAX(CJ16-SUMIFS(BU$5:BU15,$B$5:$B15,$B16),0)/($E16-$D16+1),6),0),ROUND(MAX(CJ16-SUMIFS(BU$5:BU15,$B$5:$B15,$B16),0)/($E16-$D16+1),0)),MAX(CL16,IF(SUMIFS(BU$5:BU15,$B$5:$B15,$B16)&lt;SUMIFS(CL$5:CL15,$B$5:$B15,$B16)-0.000000001,ROUNDUP(ROUND(MAX(CJ16-SUMIFS(BU$5:BU15,$B$5:$B15,$B16),0)/($E16-$D16+1),6),0),ROUND(MAX(CJ16-SUMIFS(BU$5:BU15,$B$5:$B15,$B16),0)/($E16-$D16+1),0)))))</f>
        <v/>
      </c>
    </row>
    <row r="17" customFormat="false" ht="15" hidden="false" customHeight="false" outlineLevel="0" collapsed="false">
      <c r="A17" s="7" t="n">
        <f aca="false">IF($E$2+11&lt;=EOMONTH($E$2,0),$E$2+11,"")</f>
        <v>46307</v>
      </c>
      <c r="B17" s="41" t="n">
        <f aca="false">IF(A17="","",IF(COUNTIFS(H$6:H$36,H17,C$6:C$36,1)=0,"",IF(H17=H16,B16,1+MAX(B$5:B16))))</f>
        <v>3</v>
      </c>
      <c r="C17" s="41" t="n">
        <f aca="false">IF(A17="",0,IF(AND(WEEKDAY(A17,2)&lt;=5,COUNTIF(Folgas!$A$5:$A$300,A17)=0),1,0))</f>
        <v>0</v>
      </c>
      <c r="D17" s="41" t="n">
        <f aca="false">IF(C17=1,COUNTIFS(B$6:B17,B17,C$6:C17,1),0)</f>
        <v>0</v>
      </c>
      <c r="E17" s="41" t="n">
        <f aca="false">IF(OR(A17="",B17=""),0,COUNTIFS(B$6:B$36,B17,C$6:C$36,1))</f>
        <v>4</v>
      </c>
      <c r="F17" s="41" t="n">
        <f aca="false">IF(OR(A17="",B17=""),0,COUNTIFS(B$6:B$36,"&gt;="&amp;B17,C$6:C$36,1))</f>
        <v>14</v>
      </c>
      <c r="G17" s="41" t="n">
        <f aca="false">IF(OR(A17="",B17=""),0,IF(B17=B16,0,1))</f>
        <v>1</v>
      </c>
      <c r="H17" s="41" t="n">
        <f aca="false">IF(A17="","",INT((A17-$E$3)/7)+1)</f>
        <v>3</v>
      </c>
      <c r="J17" s="13" t="n">
        <f aca="false">IF($A17="",0,IF('Meta Diária'!G17&lt;&gt;"",'Meta Diária'!G17,IF(AND($C17=1,$A17&gt;='Base de Dados'!$B$6),O17,0)))</f>
        <v>0</v>
      </c>
      <c r="K17" s="13" t="n">
        <f aca="false">K16+J16</f>
        <v>0</v>
      </c>
      <c r="L17" s="13" t="n">
        <f aca="false">IF($A17="","",IF($G17=1,IF($B$2=0,0,$J$3*$E17/$B$2),L16))</f>
        <v>5714.28571428572</v>
      </c>
      <c r="M17" s="13" t="n">
        <f aca="false">IF($A17="","",IF($G17=1,IF('Base de Dados'!$B$7="Sim",IF($F17=0,0,MAX($J$3-K17,0)*$E17/$F17),MAX(L17,IF($F17=0,0,MAX($J$3-K17,0)*$E17/$F17))),M16))</f>
        <v>8571.42857142857</v>
      </c>
      <c r="N17" s="13" t="str">
        <f aca="false">IF($C17=1,M17/$E17,"")</f>
        <v/>
      </c>
      <c r="O17" s="13" t="str">
        <f aca="false">IF($C17&lt;&gt;1,"",IF('Base de Dados'!$B$7="Sim",MAX(M17-SUMIFS(J$5:J16,$B$5:$B16,$B17),0)/($E17-$D17+1),MAX(N17,MAX(M17-SUMIFS(J$5:J16,$B$5:$B16,$B17),0)/($E17-$D17+1))))</f>
        <v/>
      </c>
      <c r="P17" s="12" t="n">
        <f aca="false">IF($A17="",0,IF('Meta Diária'!I17&lt;&gt;"",'Meta Diária'!I17,IF(AND($C17=1,$A17&gt;='Base de Dados'!$B$6),AH17,0)))</f>
        <v>0</v>
      </c>
      <c r="Q17" s="12" t="n">
        <f aca="false">Q16+P16</f>
        <v>0</v>
      </c>
      <c r="R17" s="41" t="n">
        <f aca="false">IF($G17=1,IF(Q17&lt;S17-0.000000001,1,0),"")</f>
        <v>1</v>
      </c>
      <c r="S17" s="12" t="n">
        <f aca="false">IF($G17=1,SUMIFS(AD$5:AD16,$G$5:$G16,1),"")</f>
        <v>287</v>
      </c>
      <c r="T17" s="12" t="n">
        <f aca="false">IF($G17=1,IF(AND($E17&gt;=1,($F17-0)&gt;0),IF(R17=1,ROUNDUP(ROUND((MAX($P$3-Q17,0)-(0))/($F17-0),6),0),ROUND((MAX($P$3-Q17,0)-(0))/($F17-0),0)),0),"")</f>
        <v>62</v>
      </c>
      <c r="U17" s="12" t="n">
        <f aca="false">IF($G17=1,IF(AND($E17&gt;=2,($F17-1)&gt;0),IF(R17=1,ROUNDUP(ROUND((MAX($P$3-Q17,0)-(T17))/($F17-1),6),0),ROUND((MAX($P$3-Q17,0)-(T17))/($F17-1),0)),0),"")</f>
        <v>62</v>
      </c>
      <c r="V17" s="12" t="n">
        <f aca="false">IF($G17=1,IF(AND($E17&gt;=3,($F17-2)&gt;0),IF(R17=1,ROUNDUP(ROUND((MAX($P$3-Q17,0)-(T17+U17))/($F17-2),6),0),ROUND((MAX($P$3-Q17,0)-(T17+U17))/($F17-2),0)),0),"")</f>
        <v>62</v>
      </c>
      <c r="W17" s="12" t="n">
        <f aca="false">IF($G17=1,IF(AND($E17&gt;=4,($F17-3)&gt;0),IF(R17=1,ROUNDUP(ROUND((MAX($P$3-Q17,0)-(T17+U17+V17))/($F17-3),6),0),ROUND((MAX($P$3-Q17,0)-(T17+U17+V17))/($F17-3),0)),0),"")</f>
        <v>62</v>
      </c>
      <c r="X17" s="12" t="n">
        <f aca="false">IF($G17=1,IF(AND($E17&gt;=5,($F17-4)&gt;0),IF(R17=1,ROUNDUP(ROUND((MAX($P$3-Q17,0)-(T17+U17+V17+W17))/($F17-4),6),0),ROUND((MAX($P$3-Q17,0)-(T17+U17+V17+W17))/($F17-4),0)),0),"")</f>
        <v>0</v>
      </c>
      <c r="Y17" s="12" t="n">
        <f aca="false">IF($G17=1,IF(AND($E17&gt;=1,($F17-0)&gt;0),ROUND((($P$3-S17)-(0))/($F17-0),0),0),"")</f>
        <v>41</v>
      </c>
      <c r="Z17" s="12" t="n">
        <f aca="false">IF($G17=1,IF(AND($E17&gt;=2,($F17-1)&gt;0),ROUND((($P$3-S17)-(Y17))/($F17-1),0),0),"")</f>
        <v>41</v>
      </c>
      <c r="AA17" s="12" t="n">
        <f aca="false">IF($G17=1,IF(AND($E17&gt;=3,($F17-2)&gt;0),ROUND((($P$3-S17)-(Y17+Z17))/($F17-2),0),0),"")</f>
        <v>41</v>
      </c>
      <c r="AB17" s="12" t="n">
        <f aca="false">IF($G17=1,IF(AND($E17&gt;=4,($F17-3)&gt;0),ROUND((($P$3-S17)-(Y17+Z17+AA17))/($F17-3),0),0),"")</f>
        <v>41</v>
      </c>
      <c r="AC17" s="12" t="n">
        <f aca="false">IF($G17=1,IF(AND($E17&gt;=5,($F17-4)&gt;0),ROUND((($P$3-S17)-(Y17+Z17+AA17+AB17))/($F17-4),0),0),"")</f>
        <v>0</v>
      </c>
      <c r="AD17" s="12" t="n">
        <f aca="false">IF($A17="","",IF($G17=1,(Y17+Z17+AA17+AB17+AC17),AD16))</f>
        <v>164</v>
      </c>
      <c r="AE17" s="12" t="n">
        <f aca="false">IF($A17="","",IF($G17=1,IF('Base de Dados'!$B$7="Sim",(T17+U17+V17+W17+X17),MAX(AD17,(T17+U17+V17+W17+X17))),AE16))</f>
        <v>248</v>
      </c>
      <c r="AF17" s="12" t="n">
        <f aca="false">IF($A17="","",IF($G17=1,AD17,AF16-N(AG16)))</f>
        <v>164</v>
      </c>
      <c r="AG17" s="12" t="str">
        <f aca="false">IF($C17=1,ROUND(AF17/($E17-$D17+1),0),"")</f>
        <v/>
      </c>
      <c r="AH17" s="12" t="str">
        <f aca="false">IF($C17&lt;&gt;1,"",IF('Base de Dados'!$B$7="Sim",IF(SUMIFS(P$5:P16,$B$5:$B16,$B17)&lt;SUMIFS(AG$5:AG16,$B$5:$B16,$B17)-0.000000001,ROUNDUP(ROUND(MAX(AE17-SUMIFS(P$5:P16,$B$5:$B16,$B17),0)/($E17-$D17+1),6),0),ROUND(MAX(AE17-SUMIFS(P$5:P16,$B$5:$B16,$B17),0)/($E17-$D17+1),0)),MAX(AG17,IF(SUMIFS(P$5:P16,$B$5:$B16,$B17)&lt;SUMIFS(AG$5:AG16,$B$5:$B16,$B17)-0.000000001,ROUNDUP(ROUND(MAX(AE17-SUMIFS(P$5:P16,$B$5:$B16,$B17),0)/($E17-$D17+1),6),0),ROUND(MAX(AE17-SUMIFS(P$5:P16,$B$5:$B16,$B17),0)/($E17-$D17+1),0)))))</f>
        <v/>
      </c>
      <c r="AI17" s="12" t="n">
        <f aca="false">IF($A17="",0,IF('Meta Diária'!K17&lt;&gt;"",'Meta Diária'!K17,IF(AND($C17=1,$A17&gt;='Base de Dados'!$B$6),BA17,0)))</f>
        <v>0</v>
      </c>
      <c r="AJ17" s="12" t="n">
        <f aca="false">AJ16+AI16</f>
        <v>0</v>
      </c>
      <c r="AK17" s="41" t="n">
        <f aca="false">IF($G17=1,IF(AJ17&lt;AL17-0.000000001,1,0),"")</f>
        <v>1</v>
      </c>
      <c r="AL17" s="12" t="n">
        <f aca="false">IF($G17=1,SUMIFS(AW$5:AW16,$G$5:$G16,1),"")</f>
        <v>56</v>
      </c>
      <c r="AM17" s="12" t="n">
        <f aca="false">IF($G17=1,IF(AND($E17&gt;=1,($F17-0)&gt;0),IF(AK17=1,ROUNDUP(ROUND((MAX($AI$3-AJ17,0)-(0))/($F17-0),6),0),ROUND((MAX($AI$3-AJ17,0)-(0))/($F17-0),0)),0),"")</f>
        <v>13</v>
      </c>
      <c r="AN17" s="12" t="n">
        <f aca="false">IF($G17=1,IF(AND($E17&gt;=2,($F17-1)&gt;0),IF(AK17=1,ROUNDUP(ROUND((MAX($AI$3-AJ17,0)-(AM17))/($F17-1),6),0),ROUND((MAX($AI$3-AJ17,0)-(AM17))/($F17-1),0)),0),"")</f>
        <v>13</v>
      </c>
      <c r="AO17" s="12" t="n">
        <f aca="false">IF($G17=1,IF(AND($E17&gt;=3,($F17-2)&gt;0),IF(AK17=1,ROUNDUP(ROUND((MAX($AI$3-AJ17,0)-(AM17+AN17))/($F17-2),6),0),ROUND((MAX($AI$3-AJ17,0)-(AM17+AN17))/($F17-2),0)),0),"")</f>
        <v>13</v>
      </c>
      <c r="AP17" s="12" t="n">
        <f aca="false">IF($G17=1,IF(AND($E17&gt;=4,($F17-3)&gt;0),IF(AK17=1,ROUNDUP(ROUND((MAX($AI$3-AJ17,0)-(AM17+AN17+AO17))/($F17-3),6),0),ROUND((MAX($AI$3-AJ17,0)-(AM17+AN17+AO17))/($F17-3),0)),0),"")</f>
        <v>13</v>
      </c>
      <c r="AQ17" s="12" t="n">
        <f aca="false">IF($G17=1,IF(AND($E17&gt;=5,($F17-4)&gt;0),IF(AK17=1,ROUNDUP(ROUND((MAX($AI$3-AJ17,0)-(AM17+AN17+AO17+AP17))/($F17-4),6),0),ROUND((MAX($AI$3-AJ17,0)-(AM17+AN17+AO17+AP17))/($F17-4),0)),0),"")</f>
        <v>0</v>
      </c>
      <c r="AR17" s="12" t="n">
        <f aca="false">IF($G17=1,IF(AND($E17&gt;=1,($F17-0)&gt;0),ROUND((($AI$3-AL17)-(0))/($F17-0),0),0),"")</f>
        <v>8</v>
      </c>
      <c r="AS17" s="12" t="n">
        <f aca="false">IF($G17=1,IF(AND($E17&gt;=2,($F17-1)&gt;0),ROUND((($AI$3-AL17)-(AR17))/($F17-1),0),0),"")</f>
        <v>8</v>
      </c>
      <c r="AT17" s="12" t="n">
        <f aca="false">IF($G17=1,IF(AND($E17&gt;=3,($F17-2)&gt;0),ROUND((($AI$3-AL17)-(AR17+AS17))/($F17-2),0),0),"")</f>
        <v>8</v>
      </c>
      <c r="AU17" s="12" t="n">
        <f aca="false">IF($G17=1,IF(AND($E17&gt;=4,($F17-3)&gt;0),ROUND((($AI$3-AL17)-(AR17+AS17+AT17))/($F17-3),0),0),"")</f>
        <v>8</v>
      </c>
      <c r="AV17" s="12" t="n">
        <f aca="false">IF($G17=1,IF(AND($E17&gt;=5,($F17-4)&gt;0),ROUND((($AI$3-AL17)-(AR17+AS17+AT17+AU17))/($F17-4),0),0),"")</f>
        <v>0</v>
      </c>
      <c r="AW17" s="12" t="n">
        <f aca="false">IF($A17="","",IF($G17=1,(AR17+AS17+AT17+AU17+AV17),AW16))</f>
        <v>32</v>
      </c>
      <c r="AX17" s="12" t="n">
        <f aca="false">IF($A17="","",IF($G17=1,IF('Base de Dados'!$B$7="Sim",(AM17+AN17+AO17+AP17+AQ17),MAX(AW17,(AM17+AN17+AO17+AP17+AQ17))),AX16))</f>
        <v>52</v>
      </c>
      <c r="AY17" s="12" t="n">
        <f aca="false">IF($A17="","",IF($G17=1,AW17,AY16-N(AZ16)))</f>
        <v>32</v>
      </c>
      <c r="AZ17" s="12" t="str">
        <f aca="false">IF($C17=1,ROUND(AY17/($E17-$D17+1),0),"")</f>
        <v/>
      </c>
      <c r="BA17" s="12" t="str">
        <f aca="false">IF($C17&lt;&gt;1,"",IF('Base de Dados'!$B$7="Sim",IF(SUMIFS(AI$5:AI16,$B$5:$B16,$B17)&lt;SUMIFS(AZ$5:AZ16,$B$5:$B16,$B17)-0.000000001,ROUNDUP(ROUND(MAX(AX17-SUMIFS(AI$5:AI16,$B$5:$B16,$B17),0)/($E17-$D17+1),6),0),ROUND(MAX(AX17-SUMIFS(AI$5:AI16,$B$5:$B16,$B17),0)/($E17-$D17+1),0)),MAX(AZ17,IF(SUMIFS(AI$5:AI16,$B$5:$B16,$B17)&lt;SUMIFS(AZ$5:AZ16,$B$5:$B16,$B17)-0.000000001,ROUNDUP(ROUND(MAX(AX17-SUMIFS(AI$5:AI16,$B$5:$B16,$B17),0)/($E17-$D17+1),6),0),ROUND(MAX(AX17-SUMIFS(AI$5:AI16,$B$5:$B16,$B17),0)/($E17-$D17+1),0)))))</f>
        <v/>
      </c>
      <c r="BB17" s="12" t="n">
        <f aca="false">IF($A17="",0,IF('Meta Diária'!M17&lt;&gt;"",'Meta Diária'!M17,IF(AND($C17=1,$A17&gt;='Base de Dados'!$B$6),BT17,0)))</f>
        <v>0</v>
      </c>
      <c r="BC17" s="12" t="n">
        <f aca="false">BC16+BB16</f>
        <v>0</v>
      </c>
      <c r="BD17" s="41" t="n">
        <f aca="false">IF($G17=1,IF(BC17&lt;BE17-0.000000001,1,0),"")</f>
        <v>1</v>
      </c>
      <c r="BE17" s="12" t="n">
        <f aca="false">IF($G17=1,SUMIFS(BP$5:BP16,$G$5:$G16,1),"")</f>
        <v>35</v>
      </c>
      <c r="BF17" s="12" t="n">
        <f aca="false">IF($G17=1,IF(AND($E17&gt;=1,($F17-0)&gt;0),IF(BD17=1,ROUNDUP(ROUND((MAX($BB$3-BC17,0)-(0))/($F17-0),6),0),ROUND((MAX($BB$3-BC17,0)-(0))/($F17-0),0)),0),"")</f>
        <v>8</v>
      </c>
      <c r="BG17" s="12" t="n">
        <f aca="false">IF($G17=1,IF(AND($E17&gt;=2,($F17-1)&gt;0),IF(BD17=1,ROUNDUP(ROUND((MAX($BB$3-BC17,0)-(BF17))/($F17-1),6),0),ROUND((MAX($BB$3-BC17,0)-(BF17))/($F17-1),0)),0),"")</f>
        <v>8</v>
      </c>
      <c r="BH17" s="12" t="n">
        <f aca="false">IF($G17=1,IF(AND($E17&gt;=3,($F17-2)&gt;0),IF(BD17=1,ROUNDUP(ROUND((MAX($BB$3-BC17,0)-(BF17+BG17))/($F17-2),6),0),ROUND((MAX($BB$3-BC17,0)-(BF17+BG17))/($F17-2),0)),0),"")</f>
        <v>8</v>
      </c>
      <c r="BI17" s="12" t="n">
        <f aca="false">IF($G17=1,IF(AND($E17&gt;=4,($F17-3)&gt;0),IF(BD17=1,ROUNDUP(ROUND((MAX($BB$3-BC17,0)-(BF17+BG17+BH17))/($F17-3),6),0),ROUND((MAX($BB$3-BC17,0)-(BF17+BG17+BH17))/($F17-3),0)),0),"")</f>
        <v>8</v>
      </c>
      <c r="BJ17" s="12" t="n">
        <f aca="false">IF($G17=1,IF(AND($E17&gt;=5,($F17-4)&gt;0),IF(BD17=1,ROUNDUP(ROUND((MAX($BB$3-BC17,0)-(BF17+BG17+BH17+BI17))/($F17-4),6),0),ROUND((MAX($BB$3-BC17,0)-(BF17+BG17+BH17+BI17))/($F17-4),0)),0),"")</f>
        <v>0</v>
      </c>
      <c r="BK17" s="12" t="n">
        <f aca="false">IF($G17=1,IF(AND($E17&gt;=1,($F17-0)&gt;0),ROUND((($BB$3-BE17)-(0))/($F17-0),0),0),"")</f>
        <v>5</v>
      </c>
      <c r="BL17" s="12" t="n">
        <f aca="false">IF($G17=1,IF(AND($E17&gt;=2,($F17-1)&gt;0),ROUND((($BB$3-BE17)-(BK17))/($F17-1),0),0),"")</f>
        <v>5</v>
      </c>
      <c r="BM17" s="12" t="n">
        <f aca="false">IF($G17=1,IF(AND($E17&gt;=3,($F17-2)&gt;0),ROUND((($BB$3-BE17)-(BK17+BL17))/($F17-2),0),0),"")</f>
        <v>5</v>
      </c>
      <c r="BN17" s="12" t="n">
        <f aca="false">IF($G17=1,IF(AND($E17&gt;=4,($F17-3)&gt;0),ROUND((($BB$3-BE17)-(BK17+BL17+BM17))/($F17-3),0),0),"")</f>
        <v>5</v>
      </c>
      <c r="BO17" s="12" t="n">
        <f aca="false">IF($G17=1,IF(AND($E17&gt;=5,($F17-4)&gt;0),ROUND((($BB$3-BE17)-(BK17+BL17+BM17+BN17))/($F17-4),0),0),"")</f>
        <v>0</v>
      </c>
      <c r="BP17" s="12" t="n">
        <f aca="false">IF($A17="","",IF($G17=1,(BK17+BL17+BM17+BN17+BO17),BP16))</f>
        <v>20</v>
      </c>
      <c r="BQ17" s="12" t="n">
        <f aca="false">IF($A17="","",IF($G17=1,IF('Base de Dados'!$B$7="Sim",(BF17+BG17+BH17+BI17+BJ17),MAX(BP17,(BF17+BG17+BH17+BI17+BJ17))),BQ16))</f>
        <v>32</v>
      </c>
      <c r="BR17" s="12" t="n">
        <f aca="false">IF($A17="","",IF($G17=1,BP17,BR16-N(BS16)))</f>
        <v>20</v>
      </c>
      <c r="BS17" s="12" t="str">
        <f aca="false">IF($C17=1,ROUND(BR17/($E17-$D17+1),0),"")</f>
        <v/>
      </c>
      <c r="BT17" s="12" t="str">
        <f aca="false">IF($C17&lt;&gt;1,"",IF('Base de Dados'!$B$7="Sim",IF(SUMIFS(BB$5:BB16,$B$5:$B16,$B17)&lt;SUMIFS(BS$5:BS16,$B$5:$B16,$B17)-0.000000001,ROUNDUP(ROUND(MAX(BQ17-SUMIFS(BB$5:BB16,$B$5:$B16,$B17),0)/($E17-$D17+1),6),0),ROUND(MAX(BQ17-SUMIFS(BB$5:BB16,$B$5:$B16,$B17),0)/($E17-$D17+1),0)),MAX(BS17,IF(SUMIFS(BB$5:BB16,$B$5:$B16,$B17)&lt;SUMIFS(BS$5:BS16,$B$5:$B16,$B17)-0.000000001,ROUNDUP(ROUND(MAX(BQ17-SUMIFS(BB$5:BB16,$B$5:$B16,$B17),0)/($E17-$D17+1),6),0),ROUND(MAX(BQ17-SUMIFS(BB$5:BB16,$B$5:$B16,$B17),0)/($E17-$D17+1),0)))))</f>
        <v/>
      </c>
      <c r="BU17" s="12" t="n">
        <f aca="false">IF($A17="",0,IF('Meta Diária'!O17&lt;&gt;"",'Meta Diária'!O17,IF(AND($C17=1,$A17&gt;='Base de Dados'!$B$6),CM17,0)))</f>
        <v>0</v>
      </c>
      <c r="BV17" s="12" t="n">
        <f aca="false">BV16+BU16</f>
        <v>0</v>
      </c>
      <c r="BW17" s="41" t="n">
        <f aca="false">IF($G17=1,IF(BV17&lt;BX17-0.000000001,1,0),"")</f>
        <v>1</v>
      </c>
      <c r="BX17" s="12" t="n">
        <f aca="false">IF($G17=1,SUMIFS(CI$5:CI16,$G$5:$G16,1),"")</f>
        <v>11</v>
      </c>
      <c r="BY17" s="12" t="n">
        <f aca="false">IF($G17=1,IF(AND($E17&gt;=1,($F17-0)&gt;0),IF(BW17=1,ROUNDUP(ROUND((MAX($BU$3-BV17,0)-(0))/($F17-0),6),0),ROUND((MAX($BU$3-BV17,0)-(0))/($F17-0),0)),0),"")</f>
        <v>3</v>
      </c>
      <c r="BZ17" s="12" t="n">
        <f aca="false">IF($G17=1,IF(AND($E17&gt;=2,($F17-1)&gt;0),IF(BW17=1,ROUNDUP(ROUND((MAX($BU$3-BV17,0)-(BY17))/($F17-1),6),0),ROUND((MAX($BU$3-BV17,0)-(BY17))/($F17-1),0)),0),"")</f>
        <v>3</v>
      </c>
      <c r="CA17" s="12" t="n">
        <f aca="false">IF($G17=1,IF(AND($E17&gt;=3,($F17-2)&gt;0),IF(BW17=1,ROUNDUP(ROUND((MAX($BU$3-BV17,0)-(BY17+BZ17))/($F17-2),6),0),ROUND((MAX($BU$3-BV17,0)-(BY17+BZ17))/($F17-2),0)),0),"")</f>
        <v>3</v>
      </c>
      <c r="CB17" s="12" t="n">
        <f aca="false">IF($G17=1,IF(AND($E17&gt;=4,($F17-3)&gt;0),IF(BW17=1,ROUNDUP(ROUND((MAX($BU$3-BV17,0)-(BY17+BZ17+CA17))/($F17-3),6),0),ROUND((MAX($BU$3-BV17,0)-(BY17+BZ17+CA17))/($F17-3),0)),0),"")</f>
        <v>3</v>
      </c>
      <c r="CC17" s="12" t="n">
        <f aca="false">IF($G17=1,IF(AND($E17&gt;=5,($F17-4)&gt;0),IF(BW17=1,ROUNDUP(ROUND((MAX($BU$3-BV17,0)-(BY17+BZ17+CA17+CB17))/($F17-4),6),0),ROUND((MAX($BU$3-BV17,0)-(BY17+BZ17+CA17+CB17))/($F17-4),0)),0),"")</f>
        <v>0</v>
      </c>
      <c r="CD17" s="12" t="n">
        <f aca="false">IF($G17=1,IF(AND($E17&gt;=1,($F17-0)&gt;0),ROUND((($BU$3-BX17)-(0))/($F17-0),0),0),"")</f>
        <v>2</v>
      </c>
      <c r="CE17" s="12" t="n">
        <f aca="false">IF($G17=1,IF(AND($E17&gt;=2,($F17-1)&gt;0),ROUND((($BU$3-BX17)-(CD17))/($F17-1),0),0),"")</f>
        <v>1</v>
      </c>
      <c r="CF17" s="12" t="n">
        <f aca="false">IF($G17=1,IF(AND($E17&gt;=3,($F17-2)&gt;0),ROUND((($BU$3-BX17)-(CD17+CE17))/($F17-2),0),0),"")</f>
        <v>2</v>
      </c>
      <c r="CG17" s="12" t="n">
        <f aca="false">IF($G17=1,IF(AND($E17&gt;=4,($F17-3)&gt;0),ROUND((($BU$3-BX17)-(CD17+CE17+CF17))/($F17-3),0),0),"")</f>
        <v>1</v>
      </c>
      <c r="CH17" s="12" t="n">
        <f aca="false">IF($G17=1,IF(AND($E17&gt;=5,($F17-4)&gt;0),ROUND((($BU$3-BX17)-(CD17+CE17+CF17+CG17))/($F17-4),0),0),"")</f>
        <v>0</v>
      </c>
      <c r="CI17" s="12" t="n">
        <f aca="false">IF($A17="","",IF($G17=1,(CD17+CE17+CF17+CG17+CH17),CI16))</f>
        <v>6</v>
      </c>
      <c r="CJ17" s="12" t="n">
        <f aca="false">IF($A17="","",IF($G17=1,IF('Base de Dados'!$B$7="Sim",(BY17+BZ17+CA17+CB17+CC17),MAX(CI17,(BY17+BZ17+CA17+CB17+CC17))),CJ16))</f>
        <v>12</v>
      </c>
      <c r="CK17" s="12" t="n">
        <f aca="false">IF($A17="","",IF($G17=1,CI17,CK16-N(CL16)))</f>
        <v>6</v>
      </c>
      <c r="CL17" s="12" t="str">
        <f aca="false">IF($C17=1,ROUND(CK17/($E17-$D17+1),0),"")</f>
        <v/>
      </c>
      <c r="CM17" s="12" t="str">
        <f aca="false">IF($C17&lt;&gt;1,"",IF('Base de Dados'!$B$7="Sim",IF(SUMIFS(BU$5:BU16,$B$5:$B16,$B17)&lt;SUMIFS(CL$5:CL16,$B$5:$B16,$B17)-0.000000001,ROUNDUP(ROUND(MAX(CJ17-SUMIFS(BU$5:BU16,$B$5:$B16,$B17),0)/($E17-$D17+1),6),0),ROUND(MAX(CJ17-SUMIFS(BU$5:BU16,$B$5:$B16,$B17),0)/($E17-$D17+1),0)),MAX(CL17,IF(SUMIFS(BU$5:BU16,$B$5:$B16,$B17)&lt;SUMIFS(CL$5:CL16,$B$5:$B16,$B17)-0.000000001,ROUNDUP(ROUND(MAX(CJ17-SUMIFS(BU$5:BU16,$B$5:$B16,$B17),0)/($E17-$D17+1),6),0),ROUND(MAX(CJ17-SUMIFS(BU$5:BU16,$B$5:$B16,$B17),0)/($E17-$D17+1),0)))))</f>
        <v/>
      </c>
    </row>
    <row r="18" customFormat="false" ht="15" hidden="false" customHeight="false" outlineLevel="0" collapsed="false">
      <c r="A18" s="7" t="n">
        <f aca="false">IF($E$2+12&lt;=EOMONTH($E$2,0),$E$2+12,"")</f>
        <v>46308</v>
      </c>
      <c r="B18" s="41" t="n">
        <f aca="false">IF(A18="","",IF(COUNTIFS(H$6:H$36,H18,C$6:C$36,1)=0,"",IF(H18=H17,B17,1+MAX(B$5:B17))))</f>
        <v>3</v>
      </c>
      <c r="C18" s="41" t="n">
        <f aca="false">IF(A18="",0,IF(AND(WEEKDAY(A18,2)&lt;=5,COUNTIF(Folgas!$A$5:$A$300,A18)=0),1,0))</f>
        <v>1</v>
      </c>
      <c r="D18" s="41" t="n">
        <f aca="false">IF(C18=1,COUNTIFS(B$6:B18,B18,C$6:C18,1),0)</f>
        <v>1</v>
      </c>
      <c r="E18" s="41" t="n">
        <f aca="false">IF(OR(A18="",B18=""),0,COUNTIFS(B$6:B$36,B18,C$6:C$36,1))</f>
        <v>4</v>
      </c>
      <c r="F18" s="41" t="n">
        <f aca="false">IF(OR(A18="",B18=""),0,COUNTIFS(B$6:B$36,"&gt;="&amp;B18,C$6:C$36,1))</f>
        <v>14</v>
      </c>
      <c r="G18" s="41" t="n">
        <f aca="false">IF(OR(A18="",B18=""),0,IF(B18=B17,0,1))</f>
        <v>0</v>
      </c>
      <c r="H18" s="41" t="n">
        <f aca="false">IF(A18="","",INT((A18-$E$3)/7)+1)</f>
        <v>3</v>
      </c>
      <c r="J18" s="13" t="n">
        <f aca="false">IF($A18="",0,IF('Meta Diária'!G18&lt;&gt;"",'Meta Diária'!G18,IF(AND($C18=1,$A18&gt;='Base de Dados'!$B$6),O18,0)))</f>
        <v>2142.85714285714</v>
      </c>
      <c r="K18" s="13" t="n">
        <f aca="false">K17+J17</f>
        <v>0</v>
      </c>
      <c r="L18" s="13" t="n">
        <f aca="false">IF($A18="","",IF($G18=1,IF($B$2=0,0,$J$3*$E18/$B$2),L17))</f>
        <v>5714.28571428572</v>
      </c>
      <c r="M18" s="13" t="n">
        <f aca="false">IF($A18="","",IF($G18=1,IF('Base de Dados'!$B$7="Sim",IF($F18=0,0,MAX($J$3-K18,0)*$E18/$F18),MAX(L18,IF($F18=0,0,MAX($J$3-K18,0)*$E18/$F18))),M17))</f>
        <v>8571.42857142857</v>
      </c>
      <c r="N18" s="13" t="n">
        <f aca="false">IF($C18=1,M18/$E18,"")</f>
        <v>2142.85714285714</v>
      </c>
      <c r="O18" s="13" t="n">
        <f aca="false">IF($C18&lt;&gt;1,"",IF('Base de Dados'!$B$7="Sim",MAX(M18-SUMIFS(J$5:J17,$B$5:$B17,$B18),0)/($E18-$D18+1),MAX(N18,MAX(M18-SUMIFS(J$5:J17,$B$5:$B17,$B18),0)/($E18-$D18+1))))</f>
        <v>2142.85714285714</v>
      </c>
      <c r="P18" s="12" t="n">
        <f aca="false">IF($A18="",0,IF('Meta Diária'!I18&lt;&gt;"",'Meta Diária'!I18,IF(AND($C18=1,$A18&gt;='Base de Dados'!$B$6),AH18,0)))</f>
        <v>62</v>
      </c>
      <c r="Q18" s="12" t="n">
        <f aca="false">Q17+P17</f>
        <v>0</v>
      </c>
      <c r="R18" s="41" t="str">
        <f aca="false">IF($G18=1,IF(Q18&lt;S18-0.000000001,1,0),"")</f>
        <v/>
      </c>
      <c r="S18" s="12" t="str">
        <f aca="false">IF($G18=1,SUMIFS(AD$5:AD17,$G$5:$G17,1),"")</f>
        <v/>
      </c>
      <c r="T18" s="12" t="str">
        <f aca="false">IF($G18=1,IF(AND($E18&gt;=1,($F18-0)&gt;0),IF(R18=1,ROUNDUP(ROUND((MAX($P$3-Q18,0)-(0))/($F18-0),6),0),ROUND((MAX($P$3-Q18,0)-(0))/($F18-0),0)),0),"")</f>
        <v/>
      </c>
      <c r="U18" s="12" t="str">
        <f aca="false">IF($G18=1,IF(AND($E18&gt;=2,($F18-1)&gt;0),IF(R18=1,ROUNDUP(ROUND((MAX($P$3-Q18,0)-(T18))/($F18-1),6),0),ROUND((MAX($P$3-Q18,0)-(T18))/($F18-1),0)),0),"")</f>
        <v/>
      </c>
      <c r="V18" s="12" t="str">
        <f aca="false">IF($G18=1,IF(AND($E18&gt;=3,($F18-2)&gt;0),IF(R18=1,ROUNDUP(ROUND((MAX($P$3-Q18,0)-(T18+U18))/($F18-2),6),0),ROUND((MAX($P$3-Q18,0)-(T18+U18))/($F18-2),0)),0),"")</f>
        <v/>
      </c>
      <c r="W18" s="12" t="str">
        <f aca="false">IF($G18=1,IF(AND($E18&gt;=4,($F18-3)&gt;0),IF(R18=1,ROUNDUP(ROUND((MAX($P$3-Q18,0)-(T18+U18+V18))/($F18-3),6),0),ROUND((MAX($P$3-Q18,0)-(T18+U18+V18))/($F18-3),0)),0),"")</f>
        <v/>
      </c>
      <c r="X18" s="12" t="str">
        <f aca="false">IF($G18=1,IF(AND($E18&gt;=5,($F18-4)&gt;0),IF(R18=1,ROUNDUP(ROUND((MAX($P$3-Q18,0)-(T18+U18+V18+W18))/($F18-4),6),0),ROUND((MAX($P$3-Q18,0)-(T18+U18+V18+W18))/($F18-4),0)),0),"")</f>
        <v/>
      </c>
      <c r="Y18" s="12" t="str">
        <f aca="false">IF($G18=1,IF(AND($E18&gt;=1,($F18-0)&gt;0),ROUND((($P$3-S18)-(0))/($F18-0),0),0),"")</f>
        <v/>
      </c>
      <c r="Z18" s="12" t="str">
        <f aca="false">IF($G18=1,IF(AND($E18&gt;=2,($F18-1)&gt;0),ROUND((($P$3-S18)-(Y18))/($F18-1),0),0),"")</f>
        <v/>
      </c>
      <c r="AA18" s="12" t="str">
        <f aca="false">IF($G18=1,IF(AND($E18&gt;=3,($F18-2)&gt;0),ROUND((($P$3-S18)-(Y18+Z18))/($F18-2),0),0),"")</f>
        <v/>
      </c>
      <c r="AB18" s="12" t="str">
        <f aca="false">IF($G18=1,IF(AND($E18&gt;=4,($F18-3)&gt;0),ROUND((($P$3-S18)-(Y18+Z18+AA18))/($F18-3),0),0),"")</f>
        <v/>
      </c>
      <c r="AC18" s="12" t="str">
        <f aca="false">IF($G18=1,IF(AND($E18&gt;=5,($F18-4)&gt;0),ROUND((($P$3-S18)-(Y18+Z18+AA18+AB18))/($F18-4),0),0),"")</f>
        <v/>
      </c>
      <c r="AD18" s="12" t="n">
        <f aca="false">IF($A18="","",IF($G18=1,(Y18+Z18+AA18+AB18+AC18),AD17))</f>
        <v>164</v>
      </c>
      <c r="AE18" s="12" t="n">
        <f aca="false">IF($A18="","",IF($G18=1,IF('Base de Dados'!$B$7="Sim",(T18+U18+V18+W18+X18),MAX(AD18,(T18+U18+V18+W18+X18))),AE17))</f>
        <v>248</v>
      </c>
      <c r="AF18" s="12" t="n">
        <f aca="false">IF($A18="","",IF($G18=1,AD18,AF17-N(AG17)))</f>
        <v>164</v>
      </c>
      <c r="AG18" s="12" t="n">
        <f aca="false">IF($C18=1,ROUND(AF18/($E18-$D18+1),0),"")</f>
        <v>41</v>
      </c>
      <c r="AH18" s="12" t="n">
        <f aca="false">IF($C18&lt;&gt;1,"",IF('Base de Dados'!$B$7="Sim",IF(SUMIFS(P$5:P17,$B$5:$B17,$B18)&lt;SUMIFS(AG$5:AG17,$B$5:$B17,$B18)-0.000000001,ROUNDUP(ROUND(MAX(AE18-SUMIFS(P$5:P17,$B$5:$B17,$B18),0)/($E18-$D18+1),6),0),ROUND(MAX(AE18-SUMIFS(P$5:P17,$B$5:$B17,$B18),0)/($E18-$D18+1),0)),MAX(AG18,IF(SUMIFS(P$5:P17,$B$5:$B17,$B18)&lt;SUMIFS(AG$5:AG17,$B$5:$B17,$B18)-0.000000001,ROUNDUP(ROUND(MAX(AE18-SUMIFS(P$5:P17,$B$5:$B17,$B18),0)/($E18-$D18+1),6),0),ROUND(MAX(AE18-SUMIFS(P$5:P17,$B$5:$B17,$B18),0)/($E18-$D18+1),0)))))</f>
        <v>62</v>
      </c>
      <c r="AI18" s="12" t="n">
        <f aca="false">IF($A18="",0,IF('Meta Diária'!K18&lt;&gt;"",'Meta Diária'!K18,IF(AND($C18=1,$A18&gt;='Base de Dados'!$B$6),BA18,0)))</f>
        <v>13</v>
      </c>
      <c r="AJ18" s="12" t="n">
        <f aca="false">AJ17+AI17</f>
        <v>0</v>
      </c>
      <c r="AK18" s="41" t="str">
        <f aca="false">IF($G18=1,IF(AJ18&lt;AL18-0.000000001,1,0),"")</f>
        <v/>
      </c>
      <c r="AL18" s="12" t="str">
        <f aca="false">IF($G18=1,SUMIFS(AW$5:AW17,$G$5:$G17,1),"")</f>
        <v/>
      </c>
      <c r="AM18" s="12" t="str">
        <f aca="false">IF($G18=1,IF(AND($E18&gt;=1,($F18-0)&gt;0),IF(AK18=1,ROUNDUP(ROUND((MAX($AI$3-AJ18,0)-(0))/($F18-0),6),0),ROUND((MAX($AI$3-AJ18,0)-(0))/($F18-0),0)),0),"")</f>
        <v/>
      </c>
      <c r="AN18" s="12" t="str">
        <f aca="false">IF($G18=1,IF(AND($E18&gt;=2,($F18-1)&gt;0),IF(AK18=1,ROUNDUP(ROUND((MAX($AI$3-AJ18,0)-(AM18))/($F18-1),6),0),ROUND((MAX($AI$3-AJ18,0)-(AM18))/($F18-1),0)),0),"")</f>
        <v/>
      </c>
      <c r="AO18" s="12" t="str">
        <f aca="false">IF($G18=1,IF(AND($E18&gt;=3,($F18-2)&gt;0),IF(AK18=1,ROUNDUP(ROUND((MAX($AI$3-AJ18,0)-(AM18+AN18))/($F18-2),6),0),ROUND((MAX($AI$3-AJ18,0)-(AM18+AN18))/($F18-2),0)),0),"")</f>
        <v/>
      </c>
      <c r="AP18" s="12" t="str">
        <f aca="false">IF($G18=1,IF(AND($E18&gt;=4,($F18-3)&gt;0),IF(AK18=1,ROUNDUP(ROUND((MAX($AI$3-AJ18,0)-(AM18+AN18+AO18))/($F18-3),6),0),ROUND((MAX($AI$3-AJ18,0)-(AM18+AN18+AO18))/($F18-3),0)),0),"")</f>
        <v/>
      </c>
      <c r="AQ18" s="12" t="str">
        <f aca="false">IF($G18=1,IF(AND($E18&gt;=5,($F18-4)&gt;0),IF(AK18=1,ROUNDUP(ROUND((MAX($AI$3-AJ18,0)-(AM18+AN18+AO18+AP18))/($F18-4),6),0),ROUND((MAX($AI$3-AJ18,0)-(AM18+AN18+AO18+AP18))/($F18-4),0)),0),"")</f>
        <v/>
      </c>
      <c r="AR18" s="12" t="str">
        <f aca="false">IF($G18=1,IF(AND($E18&gt;=1,($F18-0)&gt;0),ROUND((($AI$3-AL18)-(0))/($F18-0),0),0),"")</f>
        <v/>
      </c>
      <c r="AS18" s="12" t="str">
        <f aca="false">IF($G18=1,IF(AND($E18&gt;=2,($F18-1)&gt;0),ROUND((($AI$3-AL18)-(AR18))/($F18-1),0),0),"")</f>
        <v/>
      </c>
      <c r="AT18" s="12" t="str">
        <f aca="false">IF($G18=1,IF(AND($E18&gt;=3,($F18-2)&gt;0),ROUND((($AI$3-AL18)-(AR18+AS18))/($F18-2),0),0),"")</f>
        <v/>
      </c>
      <c r="AU18" s="12" t="str">
        <f aca="false">IF($G18=1,IF(AND($E18&gt;=4,($F18-3)&gt;0),ROUND((($AI$3-AL18)-(AR18+AS18+AT18))/($F18-3),0),0),"")</f>
        <v/>
      </c>
      <c r="AV18" s="12" t="str">
        <f aca="false">IF($G18=1,IF(AND($E18&gt;=5,($F18-4)&gt;0),ROUND((($AI$3-AL18)-(AR18+AS18+AT18+AU18))/($F18-4),0),0),"")</f>
        <v/>
      </c>
      <c r="AW18" s="12" t="n">
        <f aca="false">IF($A18="","",IF($G18=1,(AR18+AS18+AT18+AU18+AV18),AW17))</f>
        <v>32</v>
      </c>
      <c r="AX18" s="12" t="n">
        <f aca="false">IF($A18="","",IF($G18=1,IF('Base de Dados'!$B$7="Sim",(AM18+AN18+AO18+AP18+AQ18),MAX(AW18,(AM18+AN18+AO18+AP18+AQ18))),AX17))</f>
        <v>52</v>
      </c>
      <c r="AY18" s="12" t="n">
        <f aca="false">IF($A18="","",IF($G18=1,AW18,AY17-N(AZ17)))</f>
        <v>32</v>
      </c>
      <c r="AZ18" s="12" t="n">
        <f aca="false">IF($C18=1,ROUND(AY18/($E18-$D18+1),0),"")</f>
        <v>8</v>
      </c>
      <c r="BA18" s="12" t="n">
        <f aca="false">IF($C18&lt;&gt;1,"",IF('Base de Dados'!$B$7="Sim",IF(SUMIFS(AI$5:AI17,$B$5:$B17,$B18)&lt;SUMIFS(AZ$5:AZ17,$B$5:$B17,$B18)-0.000000001,ROUNDUP(ROUND(MAX(AX18-SUMIFS(AI$5:AI17,$B$5:$B17,$B18),0)/($E18-$D18+1),6),0),ROUND(MAX(AX18-SUMIFS(AI$5:AI17,$B$5:$B17,$B18),0)/($E18-$D18+1),0)),MAX(AZ18,IF(SUMIFS(AI$5:AI17,$B$5:$B17,$B18)&lt;SUMIFS(AZ$5:AZ17,$B$5:$B17,$B18)-0.000000001,ROUNDUP(ROUND(MAX(AX18-SUMIFS(AI$5:AI17,$B$5:$B17,$B18),0)/($E18-$D18+1),6),0),ROUND(MAX(AX18-SUMIFS(AI$5:AI17,$B$5:$B17,$B18),0)/($E18-$D18+1),0)))))</f>
        <v>13</v>
      </c>
      <c r="BB18" s="12" t="n">
        <f aca="false">IF($A18="",0,IF('Meta Diária'!M18&lt;&gt;"",'Meta Diária'!M18,IF(AND($C18=1,$A18&gt;='Base de Dados'!$B$6),BT18,0)))</f>
        <v>8</v>
      </c>
      <c r="BC18" s="12" t="n">
        <f aca="false">BC17+BB17</f>
        <v>0</v>
      </c>
      <c r="BD18" s="41" t="str">
        <f aca="false">IF($G18=1,IF(BC18&lt;BE18-0.000000001,1,0),"")</f>
        <v/>
      </c>
      <c r="BE18" s="12" t="str">
        <f aca="false">IF($G18=1,SUMIFS(BP$5:BP17,$G$5:$G17,1),"")</f>
        <v/>
      </c>
      <c r="BF18" s="12" t="str">
        <f aca="false">IF($G18=1,IF(AND($E18&gt;=1,($F18-0)&gt;0),IF(BD18=1,ROUNDUP(ROUND((MAX($BB$3-BC18,0)-(0))/($F18-0),6),0),ROUND((MAX($BB$3-BC18,0)-(0))/($F18-0),0)),0),"")</f>
        <v/>
      </c>
      <c r="BG18" s="12" t="str">
        <f aca="false">IF($G18=1,IF(AND($E18&gt;=2,($F18-1)&gt;0),IF(BD18=1,ROUNDUP(ROUND((MAX($BB$3-BC18,0)-(BF18))/($F18-1),6),0),ROUND((MAX($BB$3-BC18,0)-(BF18))/($F18-1),0)),0),"")</f>
        <v/>
      </c>
      <c r="BH18" s="12" t="str">
        <f aca="false">IF($G18=1,IF(AND($E18&gt;=3,($F18-2)&gt;0),IF(BD18=1,ROUNDUP(ROUND((MAX($BB$3-BC18,0)-(BF18+BG18))/($F18-2),6),0),ROUND((MAX($BB$3-BC18,0)-(BF18+BG18))/($F18-2),0)),0),"")</f>
        <v/>
      </c>
      <c r="BI18" s="12" t="str">
        <f aca="false">IF($G18=1,IF(AND($E18&gt;=4,($F18-3)&gt;0),IF(BD18=1,ROUNDUP(ROUND((MAX($BB$3-BC18,0)-(BF18+BG18+BH18))/($F18-3),6),0),ROUND((MAX($BB$3-BC18,0)-(BF18+BG18+BH18))/($F18-3),0)),0),"")</f>
        <v/>
      </c>
      <c r="BJ18" s="12" t="str">
        <f aca="false">IF($G18=1,IF(AND($E18&gt;=5,($F18-4)&gt;0),IF(BD18=1,ROUNDUP(ROUND((MAX($BB$3-BC18,0)-(BF18+BG18+BH18+BI18))/($F18-4),6),0),ROUND((MAX($BB$3-BC18,0)-(BF18+BG18+BH18+BI18))/($F18-4),0)),0),"")</f>
        <v/>
      </c>
      <c r="BK18" s="12" t="str">
        <f aca="false">IF($G18=1,IF(AND($E18&gt;=1,($F18-0)&gt;0),ROUND((($BB$3-BE18)-(0))/($F18-0),0),0),"")</f>
        <v/>
      </c>
      <c r="BL18" s="12" t="str">
        <f aca="false">IF($G18=1,IF(AND($E18&gt;=2,($F18-1)&gt;0),ROUND((($BB$3-BE18)-(BK18))/($F18-1),0),0),"")</f>
        <v/>
      </c>
      <c r="BM18" s="12" t="str">
        <f aca="false">IF($G18=1,IF(AND($E18&gt;=3,($F18-2)&gt;0),ROUND((($BB$3-BE18)-(BK18+BL18))/($F18-2),0),0),"")</f>
        <v/>
      </c>
      <c r="BN18" s="12" t="str">
        <f aca="false">IF($G18=1,IF(AND($E18&gt;=4,($F18-3)&gt;0),ROUND((($BB$3-BE18)-(BK18+BL18+BM18))/($F18-3),0),0),"")</f>
        <v/>
      </c>
      <c r="BO18" s="12" t="str">
        <f aca="false">IF($G18=1,IF(AND($E18&gt;=5,($F18-4)&gt;0),ROUND((($BB$3-BE18)-(BK18+BL18+BM18+BN18))/($F18-4),0),0),"")</f>
        <v/>
      </c>
      <c r="BP18" s="12" t="n">
        <f aca="false">IF($A18="","",IF($G18=1,(BK18+BL18+BM18+BN18+BO18),BP17))</f>
        <v>20</v>
      </c>
      <c r="BQ18" s="12" t="n">
        <f aca="false">IF($A18="","",IF($G18=1,IF('Base de Dados'!$B$7="Sim",(BF18+BG18+BH18+BI18+BJ18),MAX(BP18,(BF18+BG18+BH18+BI18+BJ18))),BQ17))</f>
        <v>32</v>
      </c>
      <c r="BR18" s="12" t="n">
        <f aca="false">IF($A18="","",IF($G18=1,BP18,BR17-N(BS17)))</f>
        <v>20</v>
      </c>
      <c r="BS18" s="12" t="n">
        <f aca="false">IF($C18=1,ROUND(BR18/($E18-$D18+1),0),"")</f>
        <v>5</v>
      </c>
      <c r="BT18" s="12" t="n">
        <f aca="false">IF($C18&lt;&gt;1,"",IF('Base de Dados'!$B$7="Sim",IF(SUMIFS(BB$5:BB17,$B$5:$B17,$B18)&lt;SUMIFS(BS$5:BS17,$B$5:$B17,$B18)-0.000000001,ROUNDUP(ROUND(MAX(BQ18-SUMIFS(BB$5:BB17,$B$5:$B17,$B18),0)/($E18-$D18+1),6),0),ROUND(MAX(BQ18-SUMIFS(BB$5:BB17,$B$5:$B17,$B18),0)/($E18-$D18+1),0)),MAX(BS18,IF(SUMIFS(BB$5:BB17,$B$5:$B17,$B18)&lt;SUMIFS(BS$5:BS17,$B$5:$B17,$B18)-0.000000001,ROUNDUP(ROUND(MAX(BQ18-SUMIFS(BB$5:BB17,$B$5:$B17,$B18),0)/($E18-$D18+1),6),0),ROUND(MAX(BQ18-SUMIFS(BB$5:BB17,$B$5:$B17,$B18),0)/($E18-$D18+1),0)))))</f>
        <v>8</v>
      </c>
      <c r="BU18" s="12" t="n">
        <f aca="false">IF($A18="",0,IF('Meta Diária'!O18&lt;&gt;"",'Meta Diária'!O18,IF(AND($C18=1,$A18&gt;='Base de Dados'!$B$6),CM18,0)))</f>
        <v>3</v>
      </c>
      <c r="BV18" s="12" t="n">
        <f aca="false">BV17+BU17</f>
        <v>0</v>
      </c>
      <c r="BW18" s="41" t="str">
        <f aca="false">IF($G18=1,IF(BV18&lt;BX18-0.000000001,1,0),"")</f>
        <v/>
      </c>
      <c r="BX18" s="12" t="str">
        <f aca="false">IF($G18=1,SUMIFS(CI$5:CI17,$G$5:$G17,1),"")</f>
        <v/>
      </c>
      <c r="BY18" s="12" t="str">
        <f aca="false">IF($G18=1,IF(AND($E18&gt;=1,($F18-0)&gt;0),IF(BW18=1,ROUNDUP(ROUND((MAX($BU$3-BV18,0)-(0))/($F18-0),6),0),ROUND((MAX($BU$3-BV18,0)-(0))/($F18-0),0)),0),"")</f>
        <v/>
      </c>
      <c r="BZ18" s="12" t="str">
        <f aca="false">IF($G18=1,IF(AND($E18&gt;=2,($F18-1)&gt;0),IF(BW18=1,ROUNDUP(ROUND((MAX($BU$3-BV18,0)-(BY18))/($F18-1),6),0),ROUND((MAX($BU$3-BV18,0)-(BY18))/($F18-1),0)),0),"")</f>
        <v/>
      </c>
      <c r="CA18" s="12" t="str">
        <f aca="false">IF($G18=1,IF(AND($E18&gt;=3,($F18-2)&gt;0),IF(BW18=1,ROUNDUP(ROUND((MAX($BU$3-BV18,0)-(BY18+BZ18))/($F18-2),6),0),ROUND((MAX($BU$3-BV18,0)-(BY18+BZ18))/($F18-2),0)),0),"")</f>
        <v/>
      </c>
      <c r="CB18" s="12" t="str">
        <f aca="false">IF($G18=1,IF(AND($E18&gt;=4,($F18-3)&gt;0),IF(BW18=1,ROUNDUP(ROUND((MAX($BU$3-BV18,0)-(BY18+BZ18+CA18))/($F18-3),6),0),ROUND((MAX($BU$3-BV18,0)-(BY18+BZ18+CA18))/($F18-3),0)),0),"")</f>
        <v/>
      </c>
      <c r="CC18" s="12" t="str">
        <f aca="false">IF($G18=1,IF(AND($E18&gt;=5,($F18-4)&gt;0),IF(BW18=1,ROUNDUP(ROUND((MAX($BU$3-BV18,0)-(BY18+BZ18+CA18+CB18))/($F18-4),6),0),ROUND((MAX($BU$3-BV18,0)-(BY18+BZ18+CA18+CB18))/($F18-4),0)),0),"")</f>
        <v/>
      </c>
      <c r="CD18" s="12" t="str">
        <f aca="false">IF($G18=1,IF(AND($E18&gt;=1,($F18-0)&gt;0),ROUND((($BU$3-BX18)-(0))/($F18-0),0),0),"")</f>
        <v/>
      </c>
      <c r="CE18" s="12" t="str">
        <f aca="false">IF($G18=1,IF(AND($E18&gt;=2,($F18-1)&gt;0),ROUND((($BU$3-BX18)-(CD18))/($F18-1),0),0),"")</f>
        <v/>
      </c>
      <c r="CF18" s="12" t="str">
        <f aca="false">IF($G18=1,IF(AND($E18&gt;=3,($F18-2)&gt;0),ROUND((($BU$3-BX18)-(CD18+CE18))/($F18-2),0),0),"")</f>
        <v/>
      </c>
      <c r="CG18" s="12" t="str">
        <f aca="false">IF($G18=1,IF(AND($E18&gt;=4,($F18-3)&gt;0),ROUND((($BU$3-BX18)-(CD18+CE18+CF18))/($F18-3),0),0),"")</f>
        <v/>
      </c>
      <c r="CH18" s="12" t="str">
        <f aca="false">IF($G18=1,IF(AND($E18&gt;=5,($F18-4)&gt;0),ROUND((($BU$3-BX18)-(CD18+CE18+CF18+CG18))/($F18-4),0),0),"")</f>
        <v/>
      </c>
      <c r="CI18" s="12" t="n">
        <f aca="false">IF($A18="","",IF($G18=1,(CD18+CE18+CF18+CG18+CH18),CI17))</f>
        <v>6</v>
      </c>
      <c r="CJ18" s="12" t="n">
        <f aca="false">IF($A18="","",IF($G18=1,IF('Base de Dados'!$B$7="Sim",(BY18+BZ18+CA18+CB18+CC18),MAX(CI18,(BY18+BZ18+CA18+CB18+CC18))),CJ17))</f>
        <v>12</v>
      </c>
      <c r="CK18" s="12" t="n">
        <f aca="false">IF($A18="","",IF($G18=1,CI18,CK17-N(CL17)))</f>
        <v>6</v>
      </c>
      <c r="CL18" s="12" t="n">
        <f aca="false">IF($C18=1,ROUND(CK18/($E18-$D18+1),0),"")</f>
        <v>2</v>
      </c>
      <c r="CM18" s="12" t="n">
        <f aca="false">IF($C18&lt;&gt;1,"",IF('Base de Dados'!$B$7="Sim",IF(SUMIFS(BU$5:BU17,$B$5:$B17,$B18)&lt;SUMIFS(CL$5:CL17,$B$5:$B17,$B18)-0.000000001,ROUNDUP(ROUND(MAX(CJ18-SUMIFS(BU$5:BU17,$B$5:$B17,$B18),0)/($E18-$D18+1),6),0),ROUND(MAX(CJ18-SUMIFS(BU$5:BU17,$B$5:$B17,$B18),0)/($E18-$D18+1),0)),MAX(CL18,IF(SUMIFS(BU$5:BU17,$B$5:$B17,$B18)&lt;SUMIFS(CL$5:CL17,$B$5:$B17,$B18)-0.000000001,ROUNDUP(ROUND(MAX(CJ18-SUMIFS(BU$5:BU17,$B$5:$B17,$B18),0)/($E18-$D18+1),6),0),ROUND(MAX(CJ18-SUMIFS(BU$5:BU17,$B$5:$B17,$B18),0)/($E18-$D18+1),0)))))</f>
        <v>3</v>
      </c>
    </row>
    <row r="19" customFormat="false" ht="15" hidden="false" customHeight="false" outlineLevel="0" collapsed="false">
      <c r="A19" s="7" t="n">
        <f aca="false">IF($E$2+13&lt;=EOMONTH($E$2,0),$E$2+13,"")</f>
        <v>46309</v>
      </c>
      <c r="B19" s="41" t="n">
        <f aca="false">IF(A19="","",IF(COUNTIFS(H$6:H$36,H19,C$6:C$36,1)=0,"",IF(H19=H18,B18,1+MAX(B$5:B18))))</f>
        <v>3</v>
      </c>
      <c r="C19" s="41" t="n">
        <f aca="false">IF(A19="",0,IF(AND(WEEKDAY(A19,2)&lt;=5,COUNTIF(Folgas!$A$5:$A$300,A19)=0),1,0))</f>
        <v>1</v>
      </c>
      <c r="D19" s="41" t="n">
        <f aca="false">IF(C19=1,COUNTIFS(B$6:B19,B19,C$6:C19,1),0)</f>
        <v>2</v>
      </c>
      <c r="E19" s="41" t="n">
        <f aca="false">IF(OR(A19="",B19=""),0,COUNTIFS(B$6:B$36,B19,C$6:C$36,1))</f>
        <v>4</v>
      </c>
      <c r="F19" s="41" t="n">
        <f aca="false">IF(OR(A19="",B19=""),0,COUNTIFS(B$6:B$36,"&gt;="&amp;B19,C$6:C$36,1))</f>
        <v>14</v>
      </c>
      <c r="G19" s="41" t="n">
        <f aca="false">IF(OR(A19="",B19=""),0,IF(B19=B18,0,1))</f>
        <v>0</v>
      </c>
      <c r="H19" s="41" t="n">
        <f aca="false">IF(A19="","",INT((A19-$E$3)/7)+1)</f>
        <v>3</v>
      </c>
      <c r="J19" s="13" t="n">
        <f aca="false">IF($A19="",0,IF('Meta Diária'!G19&lt;&gt;"",'Meta Diária'!G19,IF(AND($C19=1,$A19&gt;='Base de Dados'!$B$6),O19,0)))</f>
        <v>2142.85714285714</v>
      </c>
      <c r="K19" s="13" t="n">
        <f aca="false">K18+J18</f>
        <v>2142.85714285714</v>
      </c>
      <c r="L19" s="13" t="n">
        <f aca="false">IF($A19="","",IF($G19=1,IF($B$2=0,0,$J$3*$E19/$B$2),L18))</f>
        <v>5714.28571428572</v>
      </c>
      <c r="M19" s="13" t="n">
        <f aca="false">IF($A19="","",IF($G19=1,IF('Base de Dados'!$B$7="Sim",IF($F19=0,0,MAX($J$3-K19,0)*$E19/$F19),MAX(L19,IF($F19=0,0,MAX($J$3-K19,0)*$E19/$F19))),M18))</f>
        <v>8571.42857142857</v>
      </c>
      <c r="N19" s="13" t="n">
        <f aca="false">IF($C19=1,M19/$E19,"")</f>
        <v>2142.85714285714</v>
      </c>
      <c r="O19" s="13" t="n">
        <f aca="false">IF($C19&lt;&gt;1,"",IF('Base de Dados'!$B$7="Sim",MAX(M19-SUMIFS(J$5:J18,$B$5:$B18,$B19),0)/($E19-$D19+1),MAX(N19,MAX(M19-SUMIFS(J$5:J18,$B$5:$B18,$B19),0)/($E19-$D19+1))))</f>
        <v>2142.85714285714</v>
      </c>
      <c r="P19" s="12" t="n">
        <f aca="false">IF($A19="",0,IF('Meta Diária'!I19&lt;&gt;"",'Meta Diária'!I19,IF(AND($C19=1,$A19&gt;='Base de Dados'!$B$6),AH19,0)))</f>
        <v>62</v>
      </c>
      <c r="Q19" s="12" t="n">
        <f aca="false">Q18+P18</f>
        <v>62</v>
      </c>
      <c r="R19" s="41" t="str">
        <f aca="false">IF($G19=1,IF(Q19&lt;S19-0.000000001,1,0),"")</f>
        <v/>
      </c>
      <c r="S19" s="12" t="str">
        <f aca="false">IF($G19=1,SUMIFS(AD$5:AD18,$G$5:$G18,1),"")</f>
        <v/>
      </c>
      <c r="T19" s="12" t="str">
        <f aca="false">IF($G19=1,IF(AND($E19&gt;=1,($F19-0)&gt;0),IF(R19=1,ROUNDUP(ROUND((MAX($P$3-Q19,0)-(0))/($F19-0),6),0),ROUND((MAX($P$3-Q19,0)-(0))/($F19-0),0)),0),"")</f>
        <v/>
      </c>
      <c r="U19" s="12" t="str">
        <f aca="false">IF($G19=1,IF(AND($E19&gt;=2,($F19-1)&gt;0),IF(R19=1,ROUNDUP(ROUND((MAX($P$3-Q19,0)-(T19))/($F19-1),6),0),ROUND((MAX($P$3-Q19,0)-(T19))/($F19-1),0)),0),"")</f>
        <v/>
      </c>
      <c r="V19" s="12" t="str">
        <f aca="false">IF($G19=1,IF(AND($E19&gt;=3,($F19-2)&gt;0),IF(R19=1,ROUNDUP(ROUND((MAX($P$3-Q19,0)-(T19+U19))/($F19-2),6),0),ROUND((MAX($P$3-Q19,0)-(T19+U19))/($F19-2),0)),0),"")</f>
        <v/>
      </c>
      <c r="W19" s="12" t="str">
        <f aca="false">IF($G19=1,IF(AND($E19&gt;=4,($F19-3)&gt;0),IF(R19=1,ROUNDUP(ROUND((MAX($P$3-Q19,0)-(T19+U19+V19))/($F19-3),6),0),ROUND((MAX($P$3-Q19,0)-(T19+U19+V19))/($F19-3),0)),0),"")</f>
        <v/>
      </c>
      <c r="X19" s="12" t="str">
        <f aca="false">IF($G19=1,IF(AND($E19&gt;=5,($F19-4)&gt;0),IF(R19=1,ROUNDUP(ROUND((MAX($P$3-Q19,0)-(T19+U19+V19+W19))/($F19-4),6),0),ROUND((MAX($P$3-Q19,0)-(T19+U19+V19+W19))/($F19-4),0)),0),"")</f>
        <v/>
      </c>
      <c r="Y19" s="12" t="str">
        <f aca="false">IF($G19=1,IF(AND($E19&gt;=1,($F19-0)&gt;0),ROUND((($P$3-S19)-(0))/($F19-0),0),0),"")</f>
        <v/>
      </c>
      <c r="Z19" s="12" t="str">
        <f aca="false">IF($G19=1,IF(AND($E19&gt;=2,($F19-1)&gt;0),ROUND((($P$3-S19)-(Y19))/($F19-1),0),0),"")</f>
        <v/>
      </c>
      <c r="AA19" s="12" t="str">
        <f aca="false">IF($G19=1,IF(AND($E19&gt;=3,($F19-2)&gt;0),ROUND((($P$3-S19)-(Y19+Z19))/($F19-2),0),0),"")</f>
        <v/>
      </c>
      <c r="AB19" s="12" t="str">
        <f aca="false">IF($G19=1,IF(AND($E19&gt;=4,($F19-3)&gt;0),ROUND((($P$3-S19)-(Y19+Z19+AA19))/($F19-3),0),0),"")</f>
        <v/>
      </c>
      <c r="AC19" s="12" t="str">
        <f aca="false">IF($G19=1,IF(AND($E19&gt;=5,($F19-4)&gt;0),ROUND((($P$3-S19)-(Y19+Z19+AA19+AB19))/($F19-4),0),0),"")</f>
        <v/>
      </c>
      <c r="AD19" s="12" t="n">
        <f aca="false">IF($A19="","",IF($G19=1,(Y19+Z19+AA19+AB19+AC19),AD18))</f>
        <v>164</v>
      </c>
      <c r="AE19" s="12" t="n">
        <f aca="false">IF($A19="","",IF($G19=1,IF('Base de Dados'!$B$7="Sim",(T19+U19+V19+W19+X19),MAX(AD19,(T19+U19+V19+W19+X19))),AE18))</f>
        <v>248</v>
      </c>
      <c r="AF19" s="12" t="n">
        <f aca="false">IF($A19="","",IF($G19=1,AD19,AF18-N(AG18)))</f>
        <v>123</v>
      </c>
      <c r="AG19" s="12" t="n">
        <f aca="false">IF($C19=1,ROUND(AF19/($E19-$D19+1),0),"")</f>
        <v>41</v>
      </c>
      <c r="AH19" s="12" t="n">
        <f aca="false">IF($C19&lt;&gt;1,"",IF('Base de Dados'!$B$7="Sim",IF(SUMIFS(P$5:P18,$B$5:$B18,$B19)&lt;SUMIFS(AG$5:AG18,$B$5:$B18,$B19)-0.000000001,ROUNDUP(ROUND(MAX(AE19-SUMIFS(P$5:P18,$B$5:$B18,$B19),0)/($E19-$D19+1),6),0),ROUND(MAX(AE19-SUMIFS(P$5:P18,$B$5:$B18,$B19),0)/($E19-$D19+1),0)),MAX(AG19,IF(SUMIFS(P$5:P18,$B$5:$B18,$B19)&lt;SUMIFS(AG$5:AG18,$B$5:$B18,$B19)-0.000000001,ROUNDUP(ROUND(MAX(AE19-SUMIFS(P$5:P18,$B$5:$B18,$B19),0)/($E19-$D19+1),6),0),ROUND(MAX(AE19-SUMIFS(P$5:P18,$B$5:$B18,$B19),0)/($E19-$D19+1),0)))))</f>
        <v>62</v>
      </c>
      <c r="AI19" s="12" t="n">
        <f aca="false">IF($A19="",0,IF('Meta Diária'!K19&lt;&gt;"",'Meta Diária'!K19,IF(AND($C19=1,$A19&gt;='Base de Dados'!$B$6),BA19,0)))</f>
        <v>13</v>
      </c>
      <c r="AJ19" s="12" t="n">
        <f aca="false">AJ18+AI18</f>
        <v>13</v>
      </c>
      <c r="AK19" s="41" t="str">
        <f aca="false">IF($G19=1,IF(AJ19&lt;AL19-0.000000001,1,0),"")</f>
        <v/>
      </c>
      <c r="AL19" s="12" t="str">
        <f aca="false">IF($G19=1,SUMIFS(AW$5:AW18,$G$5:$G18,1),"")</f>
        <v/>
      </c>
      <c r="AM19" s="12" t="str">
        <f aca="false">IF($G19=1,IF(AND($E19&gt;=1,($F19-0)&gt;0),IF(AK19=1,ROUNDUP(ROUND((MAX($AI$3-AJ19,0)-(0))/($F19-0),6),0),ROUND((MAX($AI$3-AJ19,0)-(0))/($F19-0),0)),0),"")</f>
        <v/>
      </c>
      <c r="AN19" s="12" t="str">
        <f aca="false">IF($G19=1,IF(AND($E19&gt;=2,($F19-1)&gt;0),IF(AK19=1,ROUNDUP(ROUND((MAX($AI$3-AJ19,0)-(AM19))/($F19-1),6),0),ROUND((MAX($AI$3-AJ19,0)-(AM19))/($F19-1),0)),0),"")</f>
        <v/>
      </c>
      <c r="AO19" s="12" t="str">
        <f aca="false">IF($G19=1,IF(AND($E19&gt;=3,($F19-2)&gt;0),IF(AK19=1,ROUNDUP(ROUND((MAX($AI$3-AJ19,0)-(AM19+AN19))/($F19-2),6),0),ROUND((MAX($AI$3-AJ19,0)-(AM19+AN19))/($F19-2),0)),0),"")</f>
        <v/>
      </c>
      <c r="AP19" s="12" t="str">
        <f aca="false">IF($G19=1,IF(AND($E19&gt;=4,($F19-3)&gt;0),IF(AK19=1,ROUNDUP(ROUND((MAX($AI$3-AJ19,0)-(AM19+AN19+AO19))/($F19-3),6),0),ROUND((MAX($AI$3-AJ19,0)-(AM19+AN19+AO19))/($F19-3),0)),0),"")</f>
        <v/>
      </c>
      <c r="AQ19" s="12" t="str">
        <f aca="false">IF($G19=1,IF(AND($E19&gt;=5,($F19-4)&gt;0),IF(AK19=1,ROUNDUP(ROUND((MAX($AI$3-AJ19,0)-(AM19+AN19+AO19+AP19))/($F19-4),6),0),ROUND((MAX($AI$3-AJ19,0)-(AM19+AN19+AO19+AP19))/($F19-4),0)),0),"")</f>
        <v/>
      </c>
      <c r="AR19" s="12" t="str">
        <f aca="false">IF($G19=1,IF(AND($E19&gt;=1,($F19-0)&gt;0),ROUND((($AI$3-AL19)-(0))/($F19-0),0),0),"")</f>
        <v/>
      </c>
      <c r="AS19" s="12" t="str">
        <f aca="false">IF($G19=1,IF(AND($E19&gt;=2,($F19-1)&gt;0),ROUND((($AI$3-AL19)-(AR19))/($F19-1),0),0),"")</f>
        <v/>
      </c>
      <c r="AT19" s="12" t="str">
        <f aca="false">IF($G19=1,IF(AND($E19&gt;=3,($F19-2)&gt;0),ROUND((($AI$3-AL19)-(AR19+AS19))/($F19-2),0),0),"")</f>
        <v/>
      </c>
      <c r="AU19" s="12" t="str">
        <f aca="false">IF($G19=1,IF(AND($E19&gt;=4,($F19-3)&gt;0),ROUND((($AI$3-AL19)-(AR19+AS19+AT19))/($F19-3),0),0),"")</f>
        <v/>
      </c>
      <c r="AV19" s="12" t="str">
        <f aca="false">IF($G19=1,IF(AND($E19&gt;=5,($F19-4)&gt;0),ROUND((($AI$3-AL19)-(AR19+AS19+AT19+AU19))/($F19-4),0),0),"")</f>
        <v/>
      </c>
      <c r="AW19" s="12" t="n">
        <f aca="false">IF($A19="","",IF($G19=1,(AR19+AS19+AT19+AU19+AV19),AW18))</f>
        <v>32</v>
      </c>
      <c r="AX19" s="12" t="n">
        <f aca="false">IF($A19="","",IF($G19=1,IF('Base de Dados'!$B$7="Sim",(AM19+AN19+AO19+AP19+AQ19),MAX(AW19,(AM19+AN19+AO19+AP19+AQ19))),AX18))</f>
        <v>52</v>
      </c>
      <c r="AY19" s="12" t="n">
        <f aca="false">IF($A19="","",IF($G19=1,AW19,AY18-N(AZ18)))</f>
        <v>24</v>
      </c>
      <c r="AZ19" s="12" t="n">
        <f aca="false">IF($C19=1,ROUND(AY19/($E19-$D19+1),0),"")</f>
        <v>8</v>
      </c>
      <c r="BA19" s="12" t="n">
        <f aca="false">IF($C19&lt;&gt;1,"",IF('Base de Dados'!$B$7="Sim",IF(SUMIFS(AI$5:AI18,$B$5:$B18,$B19)&lt;SUMIFS(AZ$5:AZ18,$B$5:$B18,$B19)-0.000000001,ROUNDUP(ROUND(MAX(AX19-SUMIFS(AI$5:AI18,$B$5:$B18,$B19),0)/($E19-$D19+1),6),0),ROUND(MAX(AX19-SUMIFS(AI$5:AI18,$B$5:$B18,$B19),0)/($E19-$D19+1),0)),MAX(AZ19,IF(SUMIFS(AI$5:AI18,$B$5:$B18,$B19)&lt;SUMIFS(AZ$5:AZ18,$B$5:$B18,$B19)-0.000000001,ROUNDUP(ROUND(MAX(AX19-SUMIFS(AI$5:AI18,$B$5:$B18,$B19),0)/($E19-$D19+1),6),0),ROUND(MAX(AX19-SUMIFS(AI$5:AI18,$B$5:$B18,$B19),0)/($E19-$D19+1),0)))))</f>
        <v>13</v>
      </c>
      <c r="BB19" s="12" t="n">
        <f aca="false">IF($A19="",0,IF('Meta Diária'!M19&lt;&gt;"",'Meta Diária'!M19,IF(AND($C19=1,$A19&gt;='Base de Dados'!$B$6),BT19,0)))</f>
        <v>8</v>
      </c>
      <c r="BC19" s="12" t="n">
        <f aca="false">BC18+BB18</f>
        <v>8</v>
      </c>
      <c r="BD19" s="41" t="str">
        <f aca="false">IF($G19=1,IF(BC19&lt;BE19-0.000000001,1,0),"")</f>
        <v/>
      </c>
      <c r="BE19" s="12" t="str">
        <f aca="false">IF($G19=1,SUMIFS(BP$5:BP18,$G$5:$G18,1),"")</f>
        <v/>
      </c>
      <c r="BF19" s="12" t="str">
        <f aca="false">IF($G19=1,IF(AND($E19&gt;=1,($F19-0)&gt;0),IF(BD19=1,ROUNDUP(ROUND((MAX($BB$3-BC19,0)-(0))/($F19-0),6),0),ROUND((MAX($BB$3-BC19,0)-(0))/($F19-0),0)),0),"")</f>
        <v/>
      </c>
      <c r="BG19" s="12" t="str">
        <f aca="false">IF($G19=1,IF(AND($E19&gt;=2,($F19-1)&gt;0),IF(BD19=1,ROUNDUP(ROUND((MAX($BB$3-BC19,0)-(BF19))/($F19-1),6),0),ROUND((MAX($BB$3-BC19,0)-(BF19))/($F19-1),0)),0),"")</f>
        <v/>
      </c>
      <c r="BH19" s="12" t="str">
        <f aca="false">IF($G19=1,IF(AND($E19&gt;=3,($F19-2)&gt;0),IF(BD19=1,ROUNDUP(ROUND((MAX($BB$3-BC19,0)-(BF19+BG19))/($F19-2),6),0),ROUND((MAX($BB$3-BC19,0)-(BF19+BG19))/($F19-2),0)),0),"")</f>
        <v/>
      </c>
      <c r="BI19" s="12" t="str">
        <f aca="false">IF($G19=1,IF(AND($E19&gt;=4,($F19-3)&gt;0),IF(BD19=1,ROUNDUP(ROUND((MAX($BB$3-BC19,0)-(BF19+BG19+BH19))/($F19-3),6),0),ROUND((MAX($BB$3-BC19,0)-(BF19+BG19+BH19))/($F19-3),0)),0),"")</f>
        <v/>
      </c>
      <c r="BJ19" s="12" t="str">
        <f aca="false">IF($G19=1,IF(AND($E19&gt;=5,($F19-4)&gt;0),IF(BD19=1,ROUNDUP(ROUND((MAX($BB$3-BC19,0)-(BF19+BG19+BH19+BI19))/($F19-4),6),0),ROUND((MAX($BB$3-BC19,0)-(BF19+BG19+BH19+BI19))/($F19-4),0)),0),"")</f>
        <v/>
      </c>
      <c r="BK19" s="12" t="str">
        <f aca="false">IF($G19=1,IF(AND($E19&gt;=1,($F19-0)&gt;0),ROUND((($BB$3-BE19)-(0))/($F19-0),0),0),"")</f>
        <v/>
      </c>
      <c r="BL19" s="12" t="str">
        <f aca="false">IF($G19=1,IF(AND($E19&gt;=2,($F19-1)&gt;0),ROUND((($BB$3-BE19)-(BK19))/($F19-1),0),0),"")</f>
        <v/>
      </c>
      <c r="BM19" s="12" t="str">
        <f aca="false">IF($G19=1,IF(AND($E19&gt;=3,($F19-2)&gt;0),ROUND((($BB$3-BE19)-(BK19+BL19))/($F19-2),0),0),"")</f>
        <v/>
      </c>
      <c r="BN19" s="12" t="str">
        <f aca="false">IF($G19=1,IF(AND($E19&gt;=4,($F19-3)&gt;0),ROUND((($BB$3-BE19)-(BK19+BL19+BM19))/($F19-3),0),0),"")</f>
        <v/>
      </c>
      <c r="BO19" s="12" t="str">
        <f aca="false">IF($G19=1,IF(AND($E19&gt;=5,($F19-4)&gt;0),ROUND((($BB$3-BE19)-(BK19+BL19+BM19+BN19))/($F19-4),0),0),"")</f>
        <v/>
      </c>
      <c r="BP19" s="12" t="n">
        <f aca="false">IF($A19="","",IF($G19=1,(BK19+BL19+BM19+BN19+BO19),BP18))</f>
        <v>20</v>
      </c>
      <c r="BQ19" s="12" t="n">
        <f aca="false">IF($A19="","",IF($G19=1,IF('Base de Dados'!$B$7="Sim",(BF19+BG19+BH19+BI19+BJ19),MAX(BP19,(BF19+BG19+BH19+BI19+BJ19))),BQ18))</f>
        <v>32</v>
      </c>
      <c r="BR19" s="12" t="n">
        <f aca="false">IF($A19="","",IF($G19=1,BP19,BR18-N(BS18)))</f>
        <v>15</v>
      </c>
      <c r="BS19" s="12" t="n">
        <f aca="false">IF($C19=1,ROUND(BR19/($E19-$D19+1),0),"")</f>
        <v>5</v>
      </c>
      <c r="BT19" s="12" t="n">
        <f aca="false">IF($C19&lt;&gt;1,"",IF('Base de Dados'!$B$7="Sim",IF(SUMIFS(BB$5:BB18,$B$5:$B18,$B19)&lt;SUMIFS(BS$5:BS18,$B$5:$B18,$B19)-0.000000001,ROUNDUP(ROUND(MAX(BQ19-SUMIFS(BB$5:BB18,$B$5:$B18,$B19),0)/($E19-$D19+1),6),0),ROUND(MAX(BQ19-SUMIFS(BB$5:BB18,$B$5:$B18,$B19),0)/($E19-$D19+1),0)),MAX(BS19,IF(SUMIFS(BB$5:BB18,$B$5:$B18,$B19)&lt;SUMIFS(BS$5:BS18,$B$5:$B18,$B19)-0.000000001,ROUNDUP(ROUND(MAX(BQ19-SUMIFS(BB$5:BB18,$B$5:$B18,$B19),0)/($E19-$D19+1),6),0),ROUND(MAX(BQ19-SUMIFS(BB$5:BB18,$B$5:$B18,$B19),0)/($E19-$D19+1),0)))))</f>
        <v>8</v>
      </c>
      <c r="BU19" s="12" t="n">
        <f aca="false">IF($A19="",0,IF('Meta Diária'!O19&lt;&gt;"",'Meta Diária'!O19,IF(AND($C19=1,$A19&gt;='Base de Dados'!$B$6),CM19,0)))</f>
        <v>3</v>
      </c>
      <c r="BV19" s="12" t="n">
        <f aca="false">BV18+BU18</f>
        <v>3</v>
      </c>
      <c r="BW19" s="41" t="str">
        <f aca="false">IF($G19=1,IF(BV19&lt;BX19-0.000000001,1,0),"")</f>
        <v/>
      </c>
      <c r="BX19" s="12" t="str">
        <f aca="false">IF($G19=1,SUMIFS(CI$5:CI18,$G$5:$G18,1),"")</f>
        <v/>
      </c>
      <c r="BY19" s="12" t="str">
        <f aca="false">IF($G19=1,IF(AND($E19&gt;=1,($F19-0)&gt;0),IF(BW19=1,ROUNDUP(ROUND((MAX($BU$3-BV19,0)-(0))/($F19-0),6),0),ROUND((MAX($BU$3-BV19,0)-(0))/($F19-0),0)),0),"")</f>
        <v/>
      </c>
      <c r="BZ19" s="12" t="str">
        <f aca="false">IF($G19=1,IF(AND($E19&gt;=2,($F19-1)&gt;0),IF(BW19=1,ROUNDUP(ROUND((MAX($BU$3-BV19,0)-(BY19))/($F19-1),6),0),ROUND((MAX($BU$3-BV19,0)-(BY19))/($F19-1),0)),0),"")</f>
        <v/>
      </c>
      <c r="CA19" s="12" t="str">
        <f aca="false">IF($G19=1,IF(AND($E19&gt;=3,($F19-2)&gt;0),IF(BW19=1,ROUNDUP(ROUND((MAX($BU$3-BV19,0)-(BY19+BZ19))/($F19-2),6),0),ROUND((MAX($BU$3-BV19,0)-(BY19+BZ19))/($F19-2),0)),0),"")</f>
        <v/>
      </c>
      <c r="CB19" s="12" t="str">
        <f aca="false">IF($G19=1,IF(AND($E19&gt;=4,($F19-3)&gt;0),IF(BW19=1,ROUNDUP(ROUND((MAX($BU$3-BV19,0)-(BY19+BZ19+CA19))/($F19-3),6),0),ROUND((MAX($BU$3-BV19,0)-(BY19+BZ19+CA19))/($F19-3),0)),0),"")</f>
        <v/>
      </c>
      <c r="CC19" s="12" t="str">
        <f aca="false">IF($G19=1,IF(AND($E19&gt;=5,($F19-4)&gt;0),IF(BW19=1,ROUNDUP(ROUND((MAX($BU$3-BV19,0)-(BY19+BZ19+CA19+CB19))/($F19-4),6),0),ROUND((MAX($BU$3-BV19,0)-(BY19+BZ19+CA19+CB19))/($F19-4),0)),0),"")</f>
        <v/>
      </c>
      <c r="CD19" s="12" t="str">
        <f aca="false">IF($G19=1,IF(AND($E19&gt;=1,($F19-0)&gt;0),ROUND((($BU$3-BX19)-(0))/($F19-0),0),0),"")</f>
        <v/>
      </c>
      <c r="CE19" s="12" t="str">
        <f aca="false">IF($G19=1,IF(AND($E19&gt;=2,($F19-1)&gt;0),ROUND((($BU$3-BX19)-(CD19))/($F19-1),0),0),"")</f>
        <v/>
      </c>
      <c r="CF19" s="12" t="str">
        <f aca="false">IF($G19=1,IF(AND($E19&gt;=3,($F19-2)&gt;0),ROUND((($BU$3-BX19)-(CD19+CE19))/($F19-2),0),0),"")</f>
        <v/>
      </c>
      <c r="CG19" s="12" t="str">
        <f aca="false">IF($G19=1,IF(AND($E19&gt;=4,($F19-3)&gt;0),ROUND((($BU$3-BX19)-(CD19+CE19+CF19))/($F19-3),0),0),"")</f>
        <v/>
      </c>
      <c r="CH19" s="12" t="str">
        <f aca="false">IF($G19=1,IF(AND($E19&gt;=5,($F19-4)&gt;0),ROUND((($BU$3-BX19)-(CD19+CE19+CF19+CG19))/($F19-4),0),0),"")</f>
        <v/>
      </c>
      <c r="CI19" s="12" t="n">
        <f aca="false">IF($A19="","",IF($G19=1,(CD19+CE19+CF19+CG19+CH19),CI18))</f>
        <v>6</v>
      </c>
      <c r="CJ19" s="12" t="n">
        <f aca="false">IF($A19="","",IF($G19=1,IF('Base de Dados'!$B$7="Sim",(BY19+BZ19+CA19+CB19+CC19),MAX(CI19,(BY19+BZ19+CA19+CB19+CC19))),CJ18))</f>
        <v>12</v>
      </c>
      <c r="CK19" s="12" t="n">
        <f aca="false">IF($A19="","",IF($G19=1,CI19,CK18-N(CL18)))</f>
        <v>4</v>
      </c>
      <c r="CL19" s="12" t="n">
        <f aca="false">IF($C19=1,ROUND(CK19/($E19-$D19+1),0),"")</f>
        <v>1</v>
      </c>
      <c r="CM19" s="12" t="n">
        <f aca="false">IF($C19&lt;&gt;1,"",IF('Base de Dados'!$B$7="Sim",IF(SUMIFS(BU$5:BU18,$B$5:$B18,$B19)&lt;SUMIFS(CL$5:CL18,$B$5:$B18,$B19)-0.000000001,ROUNDUP(ROUND(MAX(CJ19-SUMIFS(BU$5:BU18,$B$5:$B18,$B19),0)/($E19-$D19+1),6),0),ROUND(MAX(CJ19-SUMIFS(BU$5:BU18,$B$5:$B18,$B19),0)/($E19-$D19+1),0)),MAX(CL19,IF(SUMIFS(BU$5:BU18,$B$5:$B18,$B19)&lt;SUMIFS(CL$5:CL18,$B$5:$B18,$B19)-0.000000001,ROUNDUP(ROUND(MAX(CJ19-SUMIFS(BU$5:BU18,$B$5:$B18,$B19),0)/($E19-$D19+1),6),0),ROUND(MAX(CJ19-SUMIFS(BU$5:BU18,$B$5:$B18,$B19),0)/($E19-$D19+1),0)))))</f>
        <v>3</v>
      </c>
    </row>
    <row r="20" customFormat="false" ht="15" hidden="false" customHeight="false" outlineLevel="0" collapsed="false">
      <c r="A20" s="7" t="n">
        <f aca="false">IF($E$2+14&lt;=EOMONTH($E$2,0),$E$2+14,"")</f>
        <v>46310</v>
      </c>
      <c r="B20" s="41" t="n">
        <f aca="false">IF(A20="","",IF(COUNTIFS(H$6:H$36,H20,C$6:C$36,1)=0,"",IF(H20=H19,B19,1+MAX(B$5:B19))))</f>
        <v>3</v>
      </c>
      <c r="C20" s="41" t="n">
        <f aca="false">IF(A20="",0,IF(AND(WEEKDAY(A20,2)&lt;=5,COUNTIF(Folgas!$A$5:$A$300,A20)=0),1,0))</f>
        <v>1</v>
      </c>
      <c r="D20" s="41" t="n">
        <f aca="false">IF(C20=1,COUNTIFS(B$6:B20,B20,C$6:C20,1),0)</f>
        <v>3</v>
      </c>
      <c r="E20" s="41" t="n">
        <f aca="false">IF(OR(A20="",B20=""),0,COUNTIFS(B$6:B$36,B20,C$6:C$36,1))</f>
        <v>4</v>
      </c>
      <c r="F20" s="41" t="n">
        <f aca="false">IF(OR(A20="",B20=""),0,COUNTIFS(B$6:B$36,"&gt;="&amp;B20,C$6:C$36,1))</f>
        <v>14</v>
      </c>
      <c r="G20" s="41" t="n">
        <f aca="false">IF(OR(A20="",B20=""),0,IF(B20=B19,0,1))</f>
        <v>0</v>
      </c>
      <c r="H20" s="41" t="n">
        <f aca="false">IF(A20="","",INT((A20-$E$3)/7)+1)</f>
        <v>3</v>
      </c>
      <c r="J20" s="13" t="n">
        <f aca="false">IF($A20="",0,IF('Meta Diária'!G20&lt;&gt;"",'Meta Diária'!G20,IF(AND($C20=1,$A20&gt;='Base de Dados'!$B$6),O20,0)))</f>
        <v>2142.85714285714</v>
      </c>
      <c r="K20" s="13" t="n">
        <f aca="false">K19+J19</f>
        <v>4285.71428571429</v>
      </c>
      <c r="L20" s="13" t="n">
        <f aca="false">IF($A20="","",IF($G20=1,IF($B$2=0,0,$J$3*$E20/$B$2),L19))</f>
        <v>5714.28571428572</v>
      </c>
      <c r="M20" s="13" t="n">
        <f aca="false">IF($A20="","",IF($G20=1,IF('Base de Dados'!$B$7="Sim",IF($F20=0,0,MAX($J$3-K20,0)*$E20/$F20),MAX(L20,IF($F20=0,0,MAX($J$3-K20,0)*$E20/$F20))),M19))</f>
        <v>8571.42857142857</v>
      </c>
      <c r="N20" s="13" t="n">
        <f aca="false">IF($C20=1,M20/$E20,"")</f>
        <v>2142.85714285714</v>
      </c>
      <c r="O20" s="13" t="n">
        <f aca="false">IF($C20&lt;&gt;1,"",IF('Base de Dados'!$B$7="Sim",MAX(M20-SUMIFS(J$5:J19,$B$5:$B19,$B20),0)/($E20-$D20+1),MAX(N20,MAX(M20-SUMIFS(J$5:J19,$B$5:$B19,$B20),0)/($E20-$D20+1))))</f>
        <v>2142.85714285714</v>
      </c>
      <c r="P20" s="12" t="n">
        <f aca="false">IF($A20="",0,IF('Meta Diária'!I20&lt;&gt;"",'Meta Diária'!I20,IF(AND($C20=1,$A20&gt;='Base de Dados'!$B$6),AH20,0)))</f>
        <v>62</v>
      </c>
      <c r="Q20" s="12" t="n">
        <f aca="false">Q19+P19</f>
        <v>124</v>
      </c>
      <c r="R20" s="41" t="str">
        <f aca="false">IF($G20=1,IF(Q20&lt;S20-0.000000001,1,0),"")</f>
        <v/>
      </c>
      <c r="S20" s="12" t="str">
        <f aca="false">IF($G20=1,SUMIFS(AD$5:AD19,$G$5:$G19,1),"")</f>
        <v/>
      </c>
      <c r="T20" s="12" t="str">
        <f aca="false">IF($G20=1,IF(AND($E20&gt;=1,($F20-0)&gt;0),IF(R20=1,ROUNDUP(ROUND((MAX($P$3-Q20,0)-(0))/($F20-0),6),0),ROUND((MAX($P$3-Q20,0)-(0))/($F20-0),0)),0),"")</f>
        <v/>
      </c>
      <c r="U20" s="12" t="str">
        <f aca="false">IF($G20=1,IF(AND($E20&gt;=2,($F20-1)&gt;0),IF(R20=1,ROUNDUP(ROUND((MAX($P$3-Q20,0)-(T20))/($F20-1),6),0),ROUND((MAX($P$3-Q20,0)-(T20))/($F20-1),0)),0),"")</f>
        <v/>
      </c>
      <c r="V20" s="12" t="str">
        <f aca="false">IF($G20=1,IF(AND($E20&gt;=3,($F20-2)&gt;0),IF(R20=1,ROUNDUP(ROUND((MAX($P$3-Q20,0)-(T20+U20))/($F20-2),6),0),ROUND((MAX($P$3-Q20,0)-(T20+U20))/($F20-2),0)),0),"")</f>
        <v/>
      </c>
      <c r="W20" s="12" t="str">
        <f aca="false">IF($G20=1,IF(AND($E20&gt;=4,($F20-3)&gt;0),IF(R20=1,ROUNDUP(ROUND((MAX($P$3-Q20,0)-(T20+U20+V20))/($F20-3),6),0),ROUND((MAX($P$3-Q20,0)-(T20+U20+V20))/($F20-3),0)),0),"")</f>
        <v/>
      </c>
      <c r="X20" s="12" t="str">
        <f aca="false">IF($G20=1,IF(AND($E20&gt;=5,($F20-4)&gt;0),IF(R20=1,ROUNDUP(ROUND((MAX($P$3-Q20,0)-(T20+U20+V20+W20))/($F20-4),6),0),ROUND((MAX($P$3-Q20,0)-(T20+U20+V20+W20))/($F20-4),0)),0),"")</f>
        <v/>
      </c>
      <c r="Y20" s="12" t="str">
        <f aca="false">IF($G20=1,IF(AND($E20&gt;=1,($F20-0)&gt;0),ROUND((($P$3-S20)-(0))/($F20-0),0),0),"")</f>
        <v/>
      </c>
      <c r="Z20" s="12" t="str">
        <f aca="false">IF($G20=1,IF(AND($E20&gt;=2,($F20-1)&gt;0),ROUND((($P$3-S20)-(Y20))/($F20-1),0),0),"")</f>
        <v/>
      </c>
      <c r="AA20" s="12" t="str">
        <f aca="false">IF($G20=1,IF(AND($E20&gt;=3,($F20-2)&gt;0),ROUND((($P$3-S20)-(Y20+Z20))/($F20-2),0),0),"")</f>
        <v/>
      </c>
      <c r="AB20" s="12" t="str">
        <f aca="false">IF($G20=1,IF(AND($E20&gt;=4,($F20-3)&gt;0),ROUND((($P$3-S20)-(Y20+Z20+AA20))/($F20-3),0),0),"")</f>
        <v/>
      </c>
      <c r="AC20" s="12" t="str">
        <f aca="false">IF($G20=1,IF(AND($E20&gt;=5,($F20-4)&gt;0),ROUND((($P$3-S20)-(Y20+Z20+AA20+AB20))/($F20-4),0),0),"")</f>
        <v/>
      </c>
      <c r="AD20" s="12" t="n">
        <f aca="false">IF($A20="","",IF($G20=1,(Y20+Z20+AA20+AB20+AC20),AD19))</f>
        <v>164</v>
      </c>
      <c r="AE20" s="12" t="n">
        <f aca="false">IF($A20="","",IF($G20=1,IF('Base de Dados'!$B$7="Sim",(T20+U20+V20+W20+X20),MAX(AD20,(T20+U20+V20+W20+X20))),AE19))</f>
        <v>248</v>
      </c>
      <c r="AF20" s="12" t="n">
        <f aca="false">IF($A20="","",IF($G20=1,AD20,AF19-N(AG19)))</f>
        <v>82</v>
      </c>
      <c r="AG20" s="12" t="n">
        <f aca="false">IF($C20=1,ROUND(AF20/($E20-$D20+1),0),"")</f>
        <v>41</v>
      </c>
      <c r="AH20" s="12" t="n">
        <f aca="false">IF($C20&lt;&gt;1,"",IF('Base de Dados'!$B$7="Sim",IF(SUMIFS(P$5:P19,$B$5:$B19,$B20)&lt;SUMIFS(AG$5:AG19,$B$5:$B19,$B20)-0.000000001,ROUNDUP(ROUND(MAX(AE20-SUMIFS(P$5:P19,$B$5:$B19,$B20),0)/($E20-$D20+1),6),0),ROUND(MAX(AE20-SUMIFS(P$5:P19,$B$5:$B19,$B20),0)/($E20-$D20+1),0)),MAX(AG20,IF(SUMIFS(P$5:P19,$B$5:$B19,$B20)&lt;SUMIFS(AG$5:AG19,$B$5:$B19,$B20)-0.000000001,ROUNDUP(ROUND(MAX(AE20-SUMIFS(P$5:P19,$B$5:$B19,$B20),0)/($E20-$D20+1),6),0),ROUND(MAX(AE20-SUMIFS(P$5:P19,$B$5:$B19,$B20),0)/($E20-$D20+1),0)))))</f>
        <v>62</v>
      </c>
      <c r="AI20" s="12" t="n">
        <f aca="false">IF($A20="",0,IF('Meta Diária'!K20&lt;&gt;"",'Meta Diária'!K20,IF(AND($C20=1,$A20&gt;='Base de Dados'!$B$6),BA20,0)))</f>
        <v>13</v>
      </c>
      <c r="AJ20" s="12" t="n">
        <f aca="false">AJ19+AI19</f>
        <v>26</v>
      </c>
      <c r="AK20" s="41" t="str">
        <f aca="false">IF($G20=1,IF(AJ20&lt;AL20-0.000000001,1,0),"")</f>
        <v/>
      </c>
      <c r="AL20" s="12" t="str">
        <f aca="false">IF($G20=1,SUMIFS(AW$5:AW19,$G$5:$G19,1),"")</f>
        <v/>
      </c>
      <c r="AM20" s="12" t="str">
        <f aca="false">IF($G20=1,IF(AND($E20&gt;=1,($F20-0)&gt;0),IF(AK20=1,ROUNDUP(ROUND((MAX($AI$3-AJ20,0)-(0))/($F20-0),6),0),ROUND((MAX($AI$3-AJ20,0)-(0))/($F20-0),0)),0),"")</f>
        <v/>
      </c>
      <c r="AN20" s="12" t="str">
        <f aca="false">IF($G20=1,IF(AND($E20&gt;=2,($F20-1)&gt;0),IF(AK20=1,ROUNDUP(ROUND((MAX($AI$3-AJ20,0)-(AM20))/($F20-1),6),0),ROUND((MAX($AI$3-AJ20,0)-(AM20))/($F20-1),0)),0),"")</f>
        <v/>
      </c>
      <c r="AO20" s="12" t="str">
        <f aca="false">IF($G20=1,IF(AND($E20&gt;=3,($F20-2)&gt;0),IF(AK20=1,ROUNDUP(ROUND((MAX($AI$3-AJ20,0)-(AM20+AN20))/($F20-2),6),0),ROUND((MAX($AI$3-AJ20,0)-(AM20+AN20))/($F20-2),0)),0),"")</f>
        <v/>
      </c>
      <c r="AP20" s="12" t="str">
        <f aca="false">IF($G20=1,IF(AND($E20&gt;=4,($F20-3)&gt;0),IF(AK20=1,ROUNDUP(ROUND((MAX($AI$3-AJ20,0)-(AM20+AN20+AO20))/($F20-3),6),0),ROUND((MAX($AI$3-AJ20,0)-(AM20+AN20+AO20))/($F20-3),0)),0),"")</f>
        <v/>
      </c>
      <c r="AQ20" s="12" t="str">
        <f aca="false">IF($G20=1,IF(AND($E20&gt;=5,($F20-4)&gt;0),IF(AK20=1,ROUNDUP(ROUND((MAX($AI$3-AJ20,0)-(AM20+AN20+AO20+AP20))/($F20-4),6),0),ROUND((MAX($AI$3-AJ20,0)-(AM20+AN20+AO20+AP20))/($F20-4),0)),0),"")</f>
        <v/>
      </c>
      <c r="AR20" s="12" t="str">
        <f aca="false">IF($G20=1,IF(AND($E20&gt;=1,($F20-0)&gt;0),ROUND((($AI$3-AL20)-(0))/($F20-0),0),0),"")</f>
        <v/>
      </c>
      <c r="AS20" s="12" t="str">
        <f aca="false">IF($G20=1,IF(AND($E20&gt;=2,($F20-1)&gt;0),ROUND((($AI$3-AL20)-(AR20))/($F20-1),0),0),"")</f>
        <v/>
      </c>
      <c r="AT20" s="12" t="str">
        <f aca="false">IF($G20=1,IF(AND($E20&gt;=3,($F20-2)&gt;0),ROUND((($AI$3-AL20)-(AR20+AS20))/($F20-2),0),0),"")</f>
        <v/>
      </c>
      <c r="AU20" s="12" t="str">
        <f aca="false">IF($G20=1,IF(AND($E20&gt;=4,($F20-3)&gt;0),ROUND((($AI$3-AL20)-(AR20+AS20+AT20))/($F20-3),0),0),"")</f>
        <v/>
      </c>
      <c r="AV20" s="12" t="str">
        <f aca="false">IF($G20=1,IF(AND($E20&gt;=5,($F20-4)&gt;0),ROUND((($AI$3-AL20)-(AR20+AS20+AT20+AU20))/($F20-4),0),0),"")</f>
        <v/>
      </c>
      <c r="AW20" s="12" t="n">
        <f aca="false">IF($A20="","",IF($G20=1,(AR20+AS20+AT20+AU20+AV20),AW19))</f>
        <v>32</v>
      </c>
      <c r="AX20" s="12" t="n">
        <f aca="false">IF($A20="","",IF($G20=1,IF('Base de Dados'!$B$7="Sim",(AM20+AN20+AO20+AP20+AQ20),MAX(AW20,(AM20+AN20+AO20+AP20+AQ20))),AX19))</f>
        <v>52</v>
      </c>
      <c r="AY20" s="12" t="n">
        <f aca="false">IF($A20="","",IF($G20=1,AW20,AY19-N(AZ19)))</f>
        <v>16</v>
      </c>
      <c r="AZ20" s="12" t="n">
        <f aca="false">IF($C20=1,ROUND(AY20/($E20-$D20+1),0),"")</f>
        <v>8</v>
      </c>
      <c r="BA20" s="12" t="n">
        <f aca="false">IF($C20&lt;&gt;1,"",IF('Base de Dados'!$B$7="Sim",IF(SUMIFS(AI$5:AI19,$B$5:$B19,$B20)&lt;SUMIFS(AZ$5:AZ19,$B$5:$B19,$B20)-0.000000001,ROUNDUP(ROUND(MAX(AX20-SUMIFS(AI$5:AI19,$B$5:$B19,$B20),0)/($E20-$D20+1),6),0),ROUND(MAX(AX20-SUMIFS(AI$5:AI19,$B$5:$B19,$B20),0)/($E20-$D20+1),0)),MAX(AZ20,IF(SUMIFS(AI$5:AI19,$B$5:$B19,$B20)&lt;SUMIFS(AZ$5:AZ19,$B$5:$B19,$B20)-0.000000001,ROUNDUP(ROUND(MAX(AX20-SUMIFS(AI$5:AI19,$B$5:$B19,$B20),0)/($E20-$D20+1),6),0),ROUND(MAX(AX20-SUMIFS(AI$5:AI19,$B$5:$B19,$B20),0)/($E20-$D20+1),0)))))</f>
        <v>13</v>
      </c>
      <c r="BB20" s="12" t="n">
        <f aca="false">IF($A20="",0,IF('Meta Diária'!M20&lt;&gt;"",'Meta Diária'!M20,IF(AND($C20=1,$A20&gt;='Base de Dados'!$B$6),BT20,0)))</f>
        <v>8</v>
      </c>
      <c r="BC20" s="12" t="n">
        <f aca="false">BC19+BB19</f>
        <v>16</v>
      </c>
      <c r="BD20" s="41" t="str">
        <f aca="false">IF($G20=1,IF(BC20&lt;BE20-0.000000001,1,0),"")</f>
        <v/>
      </c>
      <c r="BE20" s="12" t="str">
        <f aca="false">IF($G20=1,SUMIFS(BP$5:BP19,$G$5:$G19,1),"")</f>
        <v/>
      </c>
      <c r="BF20" s="12" t="str">
        <f aca="false">IF($G20=1,IF(AND($E20&gt;=1,($F20-0)&gt;0),IF(BD20=1,ROUNDUP(ROUND((MAX($BB$3-BC20,0)-(0))/($F20-0),6),0),ROUND((MAX($BB$3-BC20,0)-(0))/($F20-0),0)),0),"")</f>
        <v/>
      </c>
      <c r="BG20" s="12" t="str">
        <f aca="false">IF($G20=1,IF(AND($E20&gt;=2,($F20-1)&gt;0),IF(BD20=1,ROUNDUP(ROUND((MAX($BB$3-BC20,0)-(BF20))/($F20-1),6),0),ROUND((MAX($BB$3-BC20,0)-(BF20))/($F20-1),0)),0),"")</f>
        <v/>
      </c>
      <c r="BH20" s="12" t="str">
        <f aca="false">IF($G20=1,IF(AND($E20&gt;=3,($F20-2)&gt;0),IF(BD20=1,ROUNDUP(ROUND((MAX($BB$3-BC20,0)-(BF20+BG20))/($F20-2),6),0),ROUND((MAX($BB$3-BC20,0)-(BF20+BG20))/($F20-2),0)),0),"")</f>
        <v/>
      </c>
      <c r="BI20" s="12" t="str">
        <f aca="false">IF($G20=1,IF(AND($E20&gt;=4,($F20-3)&gt;0),IF(BD20=1,ROUNDUP(ROUND((MAX($BB$3-BC20,0)-(BF20+BG20+BH20))/($F20-3),6),0),ROUND((MAX($BB$3-BC20,0)-(BF20+BG20+BH20))/($F20-3),0)),0),"")</f>
        <v/>
      </c>
      <c r="BJ20" s="12" t="str">
        <f aca="false">IF($G20=1,IF(AND($E20&gt;=5,($F20-4)&gt;0),IF(BD20=1,ROUNDUP(ROUND((MAX($BB$3-BC20,0)-(BF20+BG20+BH20+BI20))/($F20-4),6),0),ROUND((MAX($BB$3-BC20,0)-(BF20+BG20+BH20+BI20))/($F20-4),0)),0),"")</f>
        <v/>
      </c>
      <c r="BK20" s="12" t="str">
        <f aca="false">IF($G20=1,IF(AND($E20&gt;=1,($F20-0)&gt;0),ROUND((($BB$3-BE20)-(0))/($F20-0),0),0),"")</f>
        <v/>
      </c>
      <c r="BL20" s="12" t="str">
        <f aca="false">IF($G20=1,IF(AND($E20&gt;=2,($F20-1)&gt;0),ROUND((($BB$3-BE20)-(BK20))/($F20-1),0),0),"")</f>
        <v/>
      </c>
      <c r="BM20" s="12" t="str">
        <f aca="false">IF($G20=1,IF(AND($E20&gt;=3,($F20-2)&gt;0),ROUND((($BB$3-BE20)-(BK20+BL20))/($F20-2),0),0),"")</f>
        <v/>
      </c>
      <c r="BN20" s="12" t="str">
        <f aca="false">IF($G20=1,IF(AND($E20&gt;=4,($F20-3)&gt;0),ROUND((($BB$3-BE20)-(BK20+BL20+BM20))/($F20-3),0),0),"")</f>
        <v/>
      </c>
      <c r="BO20" s="12" t="str">
        <f aca="false">IF($G20=1,IF(AND($E20&gt;=5,($F20-4)&gt;0),ROUND((($BB$3-BE20)-(BK20+BL20+BM20+BN20))/($F20-4),0),0),"")</f>
        <v/>
      </c>
      <c r="BP20" s="12" t="n">
        <f aca="false">IF($A20="","",IF($G20=1,(BK20+BL20+BM20+BN20+BO20),BP19))</f>
        <v>20</v>
      </c>
      <c r="BQ20" s="12" t="n">
        <f aca="false">IF($A20="","",IF($G20=1,IF('Base de Dados'!$B$7="Sim",(BF20+BG20+BH20+BI20+BJ20),MAX(BP20,(BF20+BG20+BH20+BI20+BJ20))),BQ19))</f>
        <v>32</v>
      </c>
      <c r="BR20" s="12" t="n">
        <f aca="false">IF($A20="","",IF($G20=1,BP20,BR19-N(BS19)))</f>
        <v>10</v>
      </c>
      <c r="BS20" s="12" t="n">
        <f aca="false">IF($C20=1,ROUND(BR20/($E20-$D20+1),0),"")</f>
        <v>5</v>
      </c>
      <c r="BT20" s="12" t="n">
        <f aca="false">IF($C20&lt;&gt;1,"",IF('Base de Dados'!$B$7="Sim",IF(SUMIFS(BB$5:BB19,$B$5:$B19,$B20)&lt;SUMIFS(BS$5:BS19,$B$5:$B19,$B20)-0.000000001,ROUNDUP(ROUND(MAX(BQ20-SUMIFS(BB$5:BB19,$B$5:$B19,$B20),0)/($E20-$D20+1),6),0),ROUND(MAX(BQ20-SUMIFS(BB$5:BB19,$B$5:$B19,$B20),0)/($E20-$D20+1),0)),MAX(BS20,IF(SUMIFS(BB$5:BB19,$B$5:$B19,$B20)&lt;SUMIFS(BS$5:BS19,$B$5:$B19,$B20)-0.000000001,ROUNDUP(ROUND(MAX(BQ20-SUMIFS(BB$5:BB19,$B$5:$B19,$B20),0)/($E20-$D20+1),6),0),ROUND(MAX(BQ20-SUMIFS(BB$5:BB19,$B$5:$B19,$B20),0)/($E20-$D20+1),0)))))</f>
        <v>8</v>
      </c>
      <c r="BU20" s="12" t="n">
        <f aca="false">IF($A20="",0,IF('Meta Diária'!O20&lt;&gt;"",'Meta Diária'!O20,IF(AND($C20=1,$A20&gt;='Base de Dados'!$B$6),CM20,0)))</f>
        <v>3</v>
      </c>
      <c r="BV20" s="12" t="n">
        <f aca="false">BV19+BU19</f>
        <v>6</v>
      </c>
      <c r="BW20" s="41" t="str">
        <f aca="false">IF($G20=1,IF(BV20&lt;BX20-0.000000001,1,0),"")</f>
        <v/>
      </c>
      <c r="BX20" s="12" t="str">
        <f aca="false">IF($G20=1,SUMIFS(CI$5:CI19,$G$5:$G19,1),"")</f>
        <v/>
      </c>
      <c r="BY20" s="12" t="str">
        <f aca="false">IF($G20=1,IF(AND($E20&gt;=1,($F20-0)&gt;0),IF(BW20=1,ROUNDUP(ROUND((MAX($BU$3-BV20,0)-(0))/($F20-0),6),0),ROUND((MAX($BU$3-BV20,0)-(0))/($F20-0),0)),0),"")</f>
        <v/>
      </c>
      <c r="BZ20" s="12" t="str">
        <f aca="false">IF($G20=1,IF(AND($E20&gt;=2,($F20-1)&gt;0),IF(BW20=1,ROUNDUP(ROUND((MAX($BU$3-BV20,0)-(BY20))/($F20-1),6),0),ROUND((MAX($BU$3-BV20,0)-(BY20))/($F20-1),0)),0),"")</f>
        <v/>
      </c>
      <c r="CA20" s="12" t="str">
        <f aca="false">IF($G20=1,IF(AND($E20&gt;=3,($F20-2)&gt;0),IF(BW20=1,ROUNDUP(ROUND((MAX($BU$3-BV20,0)-(BY20+BZ20))/($F20-2),6),0),ROUND((MAX($BU$3-BV20,0)-(BY20+BZ20))/($F20-2),0)),0),"")</f>
        <v/>
      </c>
      <c r="CB20" s="12" t="str">
        <f aca="false">IF($G20=1,IF(AND($E20&gt;=4,($F20-3)&gt;0),IF(BW20=1,ROUNDUP(ROUND((MAX($BU$3-BV20,0)-(BY20+BZ20+CA20))/($F20-3),6),0),ROUND((MAX($BU$3-BV20,0)-(BY20+BZ20+CA20))/($F20-3),0)),0),"")</f>
        <v/>
      </c>
      <c r="CC20" s="12" t="str">
        <f aca="false">IF($G20=1,IF(AND($E20&gt;=5,($F20-4)&gt;0),IF(BW20=1,ROUNDUP(ROUND((MAX($BU$3-BV20,0)-(BY20+BZ20+CA20+CB20))/($F20-4),6),0),ROUND((MAX($BU$3-BV20,0)-(BY20+BZ20+CA20+CB20))/($F20-4),0)),0),"")</f>
        <v/>
      </c>
      <c r="CD20" s="12" t="str">
        <f aca="false">IF($G20=1,IF(AND($E20&gt;=1,($F20-0)&gt;0),ROUND((($BU$3-BX20)-(0))/($F20-0),0),0),"")</f>
        <v/>
      </c>
      <c r="CE20" s="12" t="str">
        <f aca="false">IF($G20=1,IF(AND($E20&gt;=2,($F20-1)&gt;0),ROUND((($BU$3-BX20)-(CD20))/($F20-1),0),0),"")</f>
        <v/>
      </c>
      <c r="CF20" s="12" t="str">
        <f aca="false">IF($G20=1,IF(AND($E20&gt;=3,($F20-2)&gt;0),ROUND((($BU$3-BX20)-(CD20+CE20))/($F20-2),0),0),"")</f>
        <v/>
      </c>
      <c r="CG20" s="12" t="str">
        <f aca="false">IF($G20=1,IF(AND($E20&gt;=4,($F20-3)&gt;0),ROUND((($BU$3-BX20)-(CD20+CE20+CF20))/($F20-3),0),0),"")</f>
        <v/>
      </c>
      <c r="CH20" s="12" t="str">
        <f aca="false">IF($G20=1,IF(AND($E20&gt;=5,($F20-4)&gt;0),ROUND((($BU$3-BX20)-(CD20+CE20+CF20+CG20))/($F20-4),0),0),"")</f>
        <v/>
      </c>
      <c r="CI20" s="12" t="n">
        <f aca="false">IF($A20="","",IF($G20=1,(CD20+CE20+CF20+CG20+CH20),CI19))</f>
        <v>6</v>
      </c>
      <c r="CJ20" s="12" t="n">
        <f aca="false">IF($A20="","",IF($G20=1,IF('Base de Dados'!$B$7="Sim",(BY20+BZ20+CA20+CB20+CC20),MAX(CI20,(BY20+BZ20+CA20+CB20+CC20))),CJ19))</f>
        <v>12</v>
      </c>
      <c r="CK20" s="12" t="n">
        <f aca="false">IF($A20="","",IF($G20=1,CI20,CK19-N(CL19)))</f>
        <v>3</v>
      </c>
      <c r="CL20" s="12" t="n">
        <f aca="false">IF($C20=1,ROUND(CK20/($E20-$D20+1),0),"")</f>
        <v>2</v>
      </c>
      <c r="CM20" s="12" t="n">
        <f aca="false">IF($C20&lt;&gt;1,"",IF('Base de Dados'!$B$7="Sim",IF(SUMIFS(BU$5:BU19,$B$5:$B19,$B20)&lt;SUMIFS(CL$5:CL19,$B$5:$B19,$B20)-0.000000001,ROUNDUP(ROUND(MAX(CJ20-SUMIFS(BU$5:BU19,$B$5:$B19,$B20),0)/($E20-$D20+1),6),0),ROUND(MAX(CJ20-SUMIFS(BU$5:BU19,$B$5:$B19,$B20),0)/($E20-$D20+1),0)),MAX(CL20,IF(SUMIFS(BU$5:BU19,$B$5:$B19,$B20)&lt;SUMIFS(CL$5:CL19,$B$5:$B19,$B20)-0.000000001,ROUNDUP(ROUND(MAX(CJ20-SUMIFS(BU$5:BU19,$B$5:$B19,$B20),0)/($E20-$D20+1),6),0),ROUND(MAX(CJ20-SUMIFS(BU$5:BU19,$B$5:$B19,$B20),0)/($E20-$D20+1),0)))))</f>
        <v>3</v>
      </c>
    </row>
    <row r="21" customFormat="false" ht="15" hidden="false" customHeight="false" outlineLevel="0" collapsed="false">
      <c r="A21" s="7" t="n">
        <f aca="false">IF($E$2+15&lt;=EOMONTH($E$2,0),$E$2+15,"")</f>
        <v>46311</v>
      </c>
      <c r="B21" s="41" t="n">
        <f aca="false">IF(A21="","",IF(COUNTIFS(H$6:H$36,H21,C$6:C$36,1)=0,"",IF(H21=H20,B20,1+MAX(B$5:B20))))</f>
        <v>3</v>
      </c>
      <c r="C21" s="41" t="n">
        <f aca="false">IF(A21="",0,IF(AND(WEEKDAY(A21,2)&lt;=5,COUNTIF(Folgas!$A$5:$A$300,A21)=0),1,0))</f>
        <v>1</v>
      </c>
      <c r="D21" s="41" t="n">
        <f aca="false">IF(C21=1,COUNTIFS(B$6:B21,B21,C$6:C21,1),0)</f>
        <v>4</v>
      </c>
      <c r="E21" s="41" t="n">
        <f aca="false">IF(OR(A21="",B21=""),0,COUNTIFS(B$6:B$36,B21,C$6:C$36,1))</f>
        <v>4</v>
      </c>
      <c r="F21" s="41" t="n">
        <f aca="false">IF(OR(A21="",B21=""),0,COUNTIFS(B$6:B$36,"&gt;="&amp;B21,C$6:C$36,1))</f>
        <v>14</v>
      </c>
      <c r="G21" s="41" t="n">
        <f aca="false">IF(OR(A21="",B21=""),0,IF(B21=B20,0,1))</f>
        <v>0</v>
      </c>
      <c r="H21" s="41" t="n">
        <f aca="false">IF(A21="","",INT((A21-$E$3)/7)+1)</f>
        <v>3</v>
      </c>
      <c r="J21" s="13" t="n">
        <f aca="false">IF($A21="",0,IF('Meta Diária'!G21&lt;&gt;"",'Meta Diária'!G21,IF(AND($C21=1,$A21&gt;='Base de Dados'!$B$6),O21,0)))</f>
        <v>2142.85714285714</v>
      </c>
      <c r="K21" s="13" t="n">
        <f aca="false">K20+J20</f>
        <v>6428.57142857143</v>
      </c>
      <c r="L21" s="13" t="n">
        <f aca="false">IF($A21="","",IF($G21=1,IF($B$2=0,0,$J$3*$E21/$B$2),L20))</f>
        <v>5714.28571428572</v>
      </c>
      <c r="M21" s="13" t="n">
        <f aca="false">IF($A21="","",IF($G21=1,IF('Base de Dados'!$B$7="Sim",IF($F21=0,0,MAX($J$3-K21,0)*$E21/$F21),MAX(L21,IF($F21=0,0,MAX($J$3-K21,0)*$E21/$F21))),M20))</f>
        <v>8571.42857142857</v>
      </c>
      <c r="N21" s="13" t="n">
        <f aca="false">IF($C21=1,M21/$E21,"")</f>
        <v>2142.85714285714</v>
      </c>
      <c r="O21" s="13" t="n">
        <f aca="false">IF($C21&lt;&gt;1,"",IF('Base de Dados'!$B$7="Sim",MAX(M21-SUMIFS(J$5:J20,$B$5:$B20,$B21),0)/($E21-$D21+1),MAX(N21,MAX(M21-SUMIFS(J$5:J20,$B$5:$B20,$B21),0)/($E21-$D21+1))))</f>
        <v>2142.85714285714</v>
      </c>
      <c r="P21" s="12" t="n">
        <f aca="false">IF($A21="",0,IF('Meta Diária'!I21&lt;&gt;"",'Meta Diária'!I21,IF(AND($C21=1,$A21&gt;='Base de Dados'!$B$6),AH21,0)))</f>
        <v>62</v>
      </c>
      <c r="Q21" s="12" t="n">
        <f aca="false">Q20+P20</f>
        <v>186</v>
      </c>
      <c r="R21" s="41" t="str">
        <f aca="false">IF($G21=1,IF(Q21&lt;S21-0.000000001,1,0),"")</f>
        <v/>
      </c>
      <c r="S21" s="12" t="str">
        <f aca="false">IF($G21=1,SUMIFS(AD$5:AD20,$G$5:$G20,1),"")</f>
        <v/>
      </c>
      <c r="T21" s="12" t="str">
        <f aca="false">IF($G21=1,IF(AND($E21&gt;=1,($F21-0)&gt;0),IF(R21=1,ROUNDUP(ROUND((MAX($P$3-Q21,0)-(0))/($F21-0),6),0),ROUND((MAX($P$3-Q21,0)-(0))/($F21-0),0)),0),"")</f>
        <v/>
      </c>
      <c r="U21" s="12" t="str">
        <f aca="false">IF($G21=1,IF(AND($E21&gt;=2,($F21-1)&gt;0),IF(R21=1,ROUNDUP(ROUND((MAX($P$3-Q21,0)-(T21))/($F21-1),6),0),ROUND((MAX($P$3-Q21,0)-(T21))/($F21-1),0)),0),"")</f>
        <v/>
      </c>
      <c r="V21" s="12" t="str">
        <f aca="false">IF($G21=1,IF(AND($E21&gt;=3,($F21-2)&gt;0),IF(R21=1,ROUNDUP(ROUND((MAX($P$3-Q21,0)-(T21+U21))/($F21-2),6),0),ROUND((MAX($P$3-Q21,0)-(T21+U21))/($F21-2),0)),0),"")</f>
        <v/>
      </c>
      <c r="W21" s="12" t="str">
        <f aca="false">IF($G21=1,IF(AND($E21&gt;=4,($F21-3)&gt;0),IF(R21=1,ROUNDUP(ROUND((MAX($P$3-Q21,0)-(T21+U21+V21))/($F21-3),6),0),ROUND((MAX($P$3-Q21,0)-(T21+U21+V21))/($F21-3),0)),0),"")</f>
        <v/>
      </c>
      <c r="X21" s="12" t="str">
        <f aca="false">IF($G21=1,IF(AND($E21&gt;=5,($F21-4)&gt;0),IF(R21=1,ROUNDUP(ROUND((MAX($P$3-Q21,0)-(T21+U21+V21+W21))/($F21-4),6),0),ROUND((MAX($P$3-Q21,0)-(T21+U21+V21+W21))/($F21-4),0)),0),"")</f>
        <v/>
      </c>
      <c r="Y21" s="12" t="str">
        <f aca="false">IF($G21=1,IF(AND($E21&gt;=1,($F21-0)&gt;0),ROUND((($P$3-S21)-(0))/($F21-0),0),0),"")</f>
        <v/>
      </c>
      <c r="Z21" s="12" t="str">
        <f aca="false">IF($G21=1,IF(AND($E21&gt;=2,($F21-1)&gt;0),ROUND((($P$3-S21)-(Y21))/($F21-1),0),0),"")</f>
        <v/>
      </c>
      <c r="AA21" s="12" t="str">
        <f aca="false">IF($G21=1,IF(AND($E21&gt;=3,($F21-2)&gt;0),ROUND((($P$3-S21)-(Y21+Z21))/($F21-2),0),0),"")</f>
        <v/>
      </c>
      <c r="AB21" s="12" t="str">
        <f aca="false">IF($G21=1,IF(AND($E21&gt;=4,($F21-3)&gt;0),ROUND((($P$3-S21)-(Y21+Z21+AA21))/($F21-3),0),0),"")</f>
        <v/>
      </c>
      <c r="AC21" s="12" t="str">
        <f aca="false">IF($G21=1,IF(AND($E21&gt;=5,($F21-4)&gt;0),ROUND((($P$3-S21)-(Y21+Z21+AA21+AB21))/($F21-4),0),0),"")</f>
        <v/>
      </c>
      <c r="AD21" s="12" t="n">
        <f aca="false">IF($A21="","",IF($G21=1,(Y21+Z21+AA21+AB21+AC21),AD20))</f>
        <v>164</v>
      </c>
      <c r="AE21" s="12" t="n">
        <f aca="false">IF($A21="","",IF($G21=1,IF('Base de Dados'!$B$7="Sim",(T21+U21+V21+W21+X21),MAX(AD21,(T21+U21+V21+W21+X21))),AE20))</f>
        <v>248</v>
      </c>
      <c r="AF21" s="12" t="n">
        <f aca="false">IF($A21="","",IF($G21=1,AD21,AF20-N(AG20)))</f>
        <v>41</v>
      </c>
      <c r="AG21" s="12" t="n">
        <f aca="false">IF($C21=1,ROUND(AF21/($E21-$D21+1),0),"")</f>
        <v>41</v>
      </c>
      <c r="AH21" s="12" t="n">
        <f aca="false">IF($C21&lt;&gt;1,"",IF('Base de Dados'!$B$7="Sim",IF(SUMIFS(P$5:P20,$B$5:$B20,$B21)&lt;SUMIFS(AG$5:AG20,$B$5:$B20,$B21)-0.000000001,ROUNDUP(ROUND(MAX(AE21-SUMIFS(P$5:P20,$B$5:$B20,$B21),0)/($E21-$D21+1),6),0),ROUND(MAX(AE21-SUMIFS(P$5:P20,$B$5:$B20,$B21),0)/($E21-$D21+1),0)),MAX(AG21,IF(SUMIFS(P$5:P20,$B$5:$B20,$B21)&lt;SUMIFS(AG$5:AG20,$B$5:$B20,$B21)-0.000000001,ROUNDUP(ROUND(MAX(AE21-SUMIFS(P$5:P20,$B$5:$B20,$B21),0)/($E21-$D21+1),6),0),ROUND(MAX(AE21-SUMIFS(P$5:P20,$B$5:$B20,$B21),0)/($E21-$D21+1),0)))))</f>
        <v>62</v>
      </c>
      <c r="AI21" s="12" t="n">
        <f aca="false">IF($A21="",0,IF('Meta Diária'!K21&lt;&gt;"",'Meta Diária'!K21,IF(AND($C21=1,$A21&gt;='Base de Dados'!$B$6),BA21,0)))</f>
        <v>13</v>
      </c>
      <c r="AJ21" s="12" t="n">
        <f aca="false">AJ20+AI20</f>
        <v>39</v>
      </c>
      <c r="AK21" s="41" t="str">
        <f aca="false">IF($G21=1,IF(AJ21&lt;AL21-0.000000001,1,0),"")</f>
        <v/>
      </c>
      <c r="AL21" s="12" t="str">
        <f aca="false">IF($G21=1,SUMIFS(AW$5:AW20,$G$5:$G20,1),"")</f>
        <v/>
      </c>
      <c r="AM21" s="12" t="str">
        <f aca="false">IF($G21=1,IF(AND($E21&gt;=1,($F21-0)&gt;0),IF(AK21=1,ROUNDUP(ROUND((MAX($AI$3-AJ21,0)-(0))/($F21-0),6),0),ROUND((MAX($AI$3-AJ21,0)-(0))/($F21-0),0)),0),"")</f>
        <v/>
      </c>
      <c r="AN21" s="12" t="str">
        <f aca="false">IF($G21=1,IF(AND($E21&gt;=2,($F21-1)&gt;0),IF(AK21=1,ROUNDUP(ROUND((MAX($AI$3-AJ21,0)-(AM21))/($F21-1),6),0),ROUND((MAX($AI$3-AJ21,0)-(AM21))/($F21-1),0)),0),"")</f>
        <v/>
      </c>
      <c r="AO21" s="12" t="str">
        <f aca="false">IF($G21=1,IF(AND($E21&gt;=3,($F21-2)&gt;0),IF(AK21=1,ROUNDUP(ROUND((MAX($AI$3-AJ21,0)-(AM21+AN21))/($F21-2),6),0),ROUND((MAX($AI$3-AJ21,0)-(AM21+AN21))/($F21-2),0)),0),"")</f>
        <v/>
      </c>
      <c r="AP21" s="12" t="str">
        <f aca="false">IF($G21=1,IF(AND($E21&gt;=4,($F21-3)&gt;0),IF(AK21=1,ROUNDUP(ROUND((MAX($AI$3-AJ21,0)-(AM21+AN21+AO21))/($F21-3),6),0),ROUND((MAX($AI$3-AJ21,0)-(AM21+AN21+AO21))/($F21-3),0)),0),"")</f>
        <v/>
      </c>
      <c r="AQ21" s="12" t="str">
        <f aca="false">IF($G21=1,IF(AND($E21&gt;=5,($F21-4)&gt;0),IF(AK21=1,ROUNDUP(ROUND((MAX($AI$3-AJ21,0)-(AM21+AN21+AO21+AP21))/($F21-4),6),0),ROUND((MAX($AI$3-AJ21,0)-(AM21+AN21+AO21+AP21))/($F21-4),0)),0),"")</f>
        <v/>
      </c>
      <c r="AR21" s="12" t="str">
        <f aca="false">IF($G21=1,IF(AND($E21&gt;=1,($F21-0)&gt;0),ROUND((($AI$3-AL21)-(0))/($F21-0),0),0),"")</f>
        <v/>
      </c>
      <c r="AS21" s="12" t="str">
        <f aca="false">IF($G21=1,IF(AND($E21&gt;=2,($F21-1)&gt;0),ROUND((($AI$3-AL21)-(AR21))/($F21-1),0),0),"")</f>
        <v/>
      </c>
      <c r="AT21" s="12" t="str">
        <f aca="false">IF($G21=1,IF(AND($E21&gt;=3,($F21-2)&gt;0),ROUND((($AI$3-AL21)-(AR21+AS21))/($F21-2),0),0),"")</f>
        <v/>
      </c>
      <c r="AU21" s="12" t="str">
        <f aca="false">IF($G21=1,IF(AND($E21&gt;=4,($F21-3)&gt;0),ROUND((($AI$3-AL21)-(AR21+AS21+AT21))/($F21-3),0),0),"")</f>
        <v/>
      </c>
      <c r="AV21" s="12" t="str">
        <f aca="false">IF($G21=1,IF(AND($E21&gt;=5,($F21-4)&gt;0),ROUND((($AI$3-AL21)-(AR21+AS21+AT21+AU21))/($F21-4),0),0),"")</f>
        <v/>
      </c>
      <c r="AW21" s="12" t="n">
        <f aca="false">IF($A21="","",IF($G21=1,(AR21+AS21+AT21+AU21+AV21),AW20))</f>
        <v>32</v>
      </c>
      <c r="AX21" s="12" t="n">
        <f aca="false">IF($A21="","",IF($G21=1,IF('Base de Dados'!$B$7="Sim",(AM21+AN21+AO21+AP21+AQ21),MAX(AW21,(AM21+AN21+AO21+AP21+AQ21))),AX20))</f>
        <v>52</v>
      </c>
      <c r="AY21" s="12" t="n">
        <f aca="false">IF($A21="","",IF($G21=1,AW21,AY20-N(AZ20)))</f>
        <v>8</v>
      </c>
      <c r="AZ21" s="12" t="n">
        <f aca="false">IF($C21=1,ROUND(AY21/($E21-$D21+1),0),"")</f>
        <v>8</v>
      </c>
      <c r="BA21" s="12" t="n">
        <f aca="false">IF($C21&lt;&gt;1,"",IF('Base de Dados'!$B$7="Sim",IF(SUMIFS(AI$5:AI20,$B$5:$B20,$B21)&lt;SUMIFS(AZ$5:AZ20,$B$5:$B20,$B21)-0.000000001,ROUNDUP(ROUND(MAX(AX21-SUMIFS(AI$5:AI20,$B$5:$B20,$B21),0)/($E21-$D21+1),6),0),ROUND(MAX(AX21-SUMIFS(AI$5:AI20,$B$5:$B20,$B21),0)/($E21-$D21+1),0)),MAX(AZ21,IF(SUMIFS(AI$5:AI20,$B$5:$B20,$B21)&lt;SUMIFS(AZ$5:AZ20,$B$5:$B20,$B21)-0.000000001,ROUNDUP(ROUND(MAX(AX21-SUMIFS(AI$5:AI20,$B$5:$B20,$B21),0)/($E21-$D21+1),6),0),ROUND(MAX(AX21-SUMIFS(AI$5:AI20,$B$5:$B20,$B21),0)/($E21-$D21+1),0)))))</f>
        <v>13</v>
      </c>
      <c r="BB21" s="12" t="n">
        <f aca="false">IF($A21="",0,IF('Meta Diária'!M21&lt;&gt;"",'Meta Diária'!M21,IF(AND($C21=1,$A21&gt;='Base de Dados'!$B$6),BT21,0)))</f>
        <v>8</v>
      </c>
      <c r="BC21" s="12" t="n">
        <f aca="false">BC20+BB20</f>
        <v>24</v>
      </c>
      <c r="BD21" s="41" t="str">
        <f aca="false">IF($G21=1,IF(BC21&lt;BE21-0.000000001,1,0),"")</f>
        <v/>
      </c>
      <c r="BE21" s="12" t="str">
        <f aca="false">IF($G21=1,SUMIFS(BP$5:BP20,$G$5:$G20,1),"")</f>
        <v/>
      </c>
      <c r="BF21" s="12" t="str">
        <f aca="false">IF($G21=1,IF(AND($E21&gt;=1,($F21-0)&gt;0),IF(BD21=1,ROUNDUP(ROUND((MAX($BB$3-BC21,0)-(0))/($F21-0),6),0),ROUND((MAX($BB$3-BC21,0)-(0))/($F21-0),0)),0),"")</f>
        <v/>
      </c>
      <c r="BG21" s="12" t="str">
        <f aca="false">IF($G21=1,IF(AND($E21&gt;=2,($F21-1)&gt;0),IF(BD21=1,ROUNDUP(ROUND((MAX($BB$3-BC21,0)-(BF21))/($F21-1),6),0),ROUND((MAX($BB$3-BC21,0)-(BF21))/($F21-1),0)),0),"")</f>
        <v/>
      </c>
      <c r="BH21" s="12" t="str">
        <f aca="false">IF($G21=1,IF(AND($E21&gt;=3,($F21-2)&gt;0),IF(BD21=1,ROUNDUP(ROUND((MAX($BB$3-BC21,0)-(BF21+BG21))/($F21-2),6),0),ROUND((MAX($BB$3-BC21,0)-(BF21+BG21))/($F21-2),0)),0),"")</f>
        <v/>
      </c>
      <c r="BI21" s="12" t="str">
        <f aca="false">IF($G21=1,IF(AND($E21&gt;=4,($F21-3)&gt;0),IF(BD21=1,ROUNDUP(ROUND((MAX($BB$3-BC21,0)-(BF21+BG21+BH21))/($F21-3),6),0),ROUND((MAX($BB$3-BC21,0)-(BF21+BG21+BH21))/($F21-3),0)),0),"")</f>
        <v/>
      </c>
      <c r="BJ21" s="12" t="str">
        <f aca="false">IF($G21=1,IF(AND($E21&gt;=5,($F21-4)&gt;0),IF(BD21=1,ROUNDUP(ROUND((MAX($BB$3-BC21,0)-(BF21+BG21+BH21+BI21))/($F21-4),6),0),ROUND((MAX($BB$3-BC21,0)-(BF21+BG21+BH21+BI21))/($F21-4),0)),0),"")</f>
        <v/>
      </c>
      <c r="BK21" s="12" t="str">
        <f aca="false">IF($G21=1,IF(AND($E21&gt;=1,($F21-0)&gt;0),ROUND((($BB$3-BE21)-(0))/($F21-0),0),0),"")</f>
        <v/>
      </c>
      <c r="BL21" s="12" t="str">
        <f aca="false">IF($G21=1,IF(AND($E21&gt;=2,($F21-1)&gt;0),ROUND((($BB$3-BE21)-(BK21))/($F21-1),0),0),"")</f>
        <v/>
      </c>
      <c r="BM21" s="12" t="str">
        <f aca="false">IF($G21=1,IF(AND($E21&gt;=3,($F21-2)&gt;0),ROUND((($BB$3-BE21)-(BK21+BL21))/($F21-2),0),0),"")</f>
        <v/>
      </c>
      <c r="BN21" s="12" t="str">
        <f aca="false">IF($G21=1,IF(AND($E21&gt;=4,($F21-3)&gt;0),ROUND((($BB$3-BE21)-(BK21+BL21+BM21))/($F21-3),0),0),"")</f>
        <v/>
      </c>
      <c r="BO21" s="12" t="str">
        <f aca="false">IF($G21=1,IF(AND($E21&gt;=5,($F21-4)&gt;0),ROUND((($BB$3-BE21)-(BK21+BL21+BM21+BN21))/($F21-4),0),0),"")</f>
        <v/>
      </c>
      <c r="BP21" s="12" t="n">
        <f aca="false">IF($A21="","",IF($G21=1,(BK21+BL21+BM21+BN21+BO21),BP20))</f>
        <v>20</v>
      </c>
      <c r="BQ21" s="12" t="n">
        <f aca="false">IF($A21="","",IF($G21=1,IF('Base de Dados'!$B$7="Sim",(BF21+BG21+BH21+BI21+BJ21),MAX(BP21,(BF21+BG21+BH21+BI21+BJ21))),BQ20))</f>
        <v>32</v>
      </c>
      <c r="BR21" s="12" t="n">
        <f aca="false">IF($A21="","",IF($G21=1,BP21,BR20-N(BS20)))</f>
        <v>5</v>
      </c>
      <c r="BS21" s="12" t="n">
        <f aca="false">IF($C21=1,ROUND(BR21/($E21-$D21+1),0),"")</f>
        <v>5</v>
      </c>
      <c r="BT21" s="12" t="n">
        <f aca="false">IF($C21&lt;&gt;1,"",IF('Base de Dados'!$B$7="Sim",IF(SUMIFS(BB$5:BB20,$B$5:$B20,$B21)&lt;SUMIFS(BS$5:BS20,$B$5:$B20,$B21)-0.000000001,ROUNDUP(ROUND(MAX(BQ21-SUMIFS(BB$5:BB20,$B$5:$B20,$B21),0)/($E21-$D21+1),6),0),ROUND(MAX(BQ21-SUMIFS(BB$5:BB20,$B$5:$B20,$B21),0)/($E21-$D21+1),0)),MAX(BS21,IF(SUMIFS(BB$5:BB20,$B$5:$B20,$B21)&lt;SUMIFS(BS$5:BS20,$B$5:$B20,$B21)-0.000000001,ROUNDUP(ROUND(MAX(BQ21-SUMIFS(BB$5:BB20,$B$5:$B20,$B21),0)/($E21-$D21+1),6),0),ROUND(MAX(BQ21-SUMIFS(BB$5:BB20,$B$5:$B20,$B21),0)/($E21-$D21+1),0)))))</f>
        <v>8</v>
      </c>
      <c r="BU21" s="12" t="n">
        <f aca="false">IF($A21="",0,IF('Meta Diária'!O21&lt;&gt;"",'Meta Diária'!O21,IF(AND($C21=1,$A21&gt;='Base de Dados'!$B$6),CM21,0)))</f>
        <v>3</v>
      </c>
      <c r="BV21" s="12" t="n">
        <f aca="false">BV20+BU20</f>
        <v>9</v>
      </c>
      <c r="BW21" s="41" t="str">
        <f aca="false">IF($G21=1,IF(BV21&lt;BX21-0.000000001,1,0),"")</f>
        <v/>
      </c>
      <c r="BX21" s="12" t="str">
        <f aca="false">IF($G21=1,SUMIFS(CI$5:CI20,$G$5:$G20,1),"")</f>
        <v/>
      </c>
      <c r="BY21" s="12" t="str">
        <f aca="false">IF($G21=1,IF(AND($E21&gt;=1,($F21-0)&gt;0),IF(BW21=1,ROUNDUP(ROUND((MAX($BU$3-BV21,0)-(0))/($F21-0),6),0),ROUND((MAX($BU$3-BV21,0)-(0))/($F21-0),0)),0),"")</f>
        <v/>
      </c>
      <c r="BZ21" s="12" t="str">
        <f aca="false">IF($G21=1,IF(AND($E21&gt;=2,($F21-1)&gt;0),IF(BW21=1,ROUNDUP(ROUND((MAX($BU$3-BV21,0)-(BY21))/($F21-1),6),0),ROUND((MAX($BU$3-BV21,0)-(BY21))/($F21-1),0)),0),"")</f>
        <v/>
      </c>
      <c r="CA21" s="12" t="str">
        <f aca="false">IF($G21=1,IF(AND($E21&gt;=3,($F21-2)&gt;0),IF(BW21=1,ROUNDUP(ROUND((MAX($BU$3-BV21,0)-(BY21+BZ21))/($F21-2),6),0),ROUND((MAX($BU$3-BV21,0)-(BY21+BZ21))/($F21-2),0)),0),"")</f>
        <v/>
      </c>
      <c r="CB21" s="12" t="str">
        <f aca="false">IF($G21=1,IF(AND($E21&gt;=4,($F21-3)&gt;0),IF(BW21=1,ROUNDUP(ROUND((MAX($BU$3-BV21,0)-(BY21+BZ21+CA21))/($F21-3),6),0),ROUND((MAX($BU$3-BV21,0)-(BY21+BZ21+CA21))/($F21-3),0)),0),"")</f>
        <v/>
      </c>
      <c r="CC21" s="12" t="str">
        <f aca="false">IF($G21=1,IF(AND($E21&gt;=5,($F21-4)&gt;0),IF(BW21=1,ROUNDUP(ROUND((MAX($BU$3-BV21,0)-(BY21+BZ21+CA21+CB21))/($F21-4),6),0),ROUND((MAX($BU$3-BV21,0)-(BY21+BZ21+CA21+CB21))/($F21-4),0)),0),"")</f>
        <v/>
      </c>
      <c r="CD21" s="12" t="str">
        <f aca="false">IF($G21=1,IF(AND($E21&gt;=1,($F21-0)&gt;0),ROUND((($BU$3-BX21)-(0))/($F21-0),0),0),"")</f>
        <v/>
      </c>
      <c r="CE21" s="12" t="str">
        <f aca="false">IF($G21=1,IF(AND($E21&gt;=2,($F21-1)&gt;0),ROUND((($BU$3-BX21)-(CD21))/($F21-1),0),0),"")</f>
        <v/>
      </c>
      <c r="CF21" s="12" t="str">
        <f aca="false">IF($G21=1,IF(AND($E21&gt;=3,($F21-2)&gt;0),ROUND((($BU$3-BX21)-(CD21+CE21))/($F21-2),0),0),"")</f>
        <v/>
      </c>
      <c r="CG21" s="12" t="str">
        <f aca="false">IF($G21=1,IF(AND($E21&gt;=4,($F21-3)&gt;0),ROUND((($BU$3-BX21)-(CD21+CE21+CF21))/($F21-3),0),0),"")</f>
        <v/>
      </c>
      <c r="CH21" s="12" t="str">
        <f aca="false">IF($G21=1,IF(AND($E21&gt;=5,($F21-4)&gt;0),ROUND((($BU$3-BX21)-(CD21+CE21+CF21+CG21))/($F21-4),0),0),"")</f>
        <v/>
      </c>
      <c r="CI21" s="12" t="n">
        <f aca="false">IF($A21="","",IF($G21=1,(CD21+CE21+CF21+CG21+CH21),CI20))</f>
        <v>6</v>
      </c>
      <c r="CJ21" s="12" t="n">
        <f aca="false">IF($A21="","",IF($G21=1,IF('Base de Dados'!$B$7="Sim",(BY21+BZ21+CA21+CB21+CC21),MAX(CI21,(BY21+BZ21+CA21+CB21+CC21))),CJ20))</f>
        <v>12</v>
      </c>
      <c r="CK21" s="12" t="n">
        <f aca="false">IF($A21="","",IF($G21=1,CI21,CK20-N(CL20)))</f>
        <v>1</v>
      </c>
      <c r="CL21" s="12" t="n">
        <f aca="false">IF($C21=1,ROUND(CK21/($E21-$D21+1),0),"")</f>
        <v>1</v>
      </c>
      <c r="CM21" s="12" t="n">
        <f aca="false">IF($C21&lt;&gt;1,"",IF('Base de Dados'!$B$7="Sim",IF(SUMIFS(BU$5:BU20,$B$5:$B20,$B21)&lt;SUMIFS(CL$5:CL20,$B$5:$B20,$B21)-0.000000001,ROUNDUP(ROUND(MAX(CJ21-SUMIFS(BU$5:BU20,$B$5:$B20,$B21),0)/($E21-$D21+1),6),0),ROUND(MAX(CJ21-SUMIFS(BU$5:BU20,$B$5:$B20,$B21),0)/($E21-$D21+1),0)),MAX(CL21,IF(SUMIFS(BU$5:BU20,$B$5:$B20,$B21)&lt;SUMIFS(CL$5:CL20,$B$5:$B20,$B21)-0.000000001,ROUNDUP(ROUND(MAX(CJ21-SUMIFS(BU$5:BU20,$B$5:$B20,$B21),0)/($E21-$D21+1),6),0),ROUND(MAX(CJ21-SUMIFS(BU$5:BU20,$B$5:$B20,$B21),0)/($E21-$D21+1),0)))))</f>
        <v>3</v>
      </c>
    </row>
    <row r="22" customFormat="false" ht="15" hidden="false" customHeight="false" outlineLevel="0" collapsed="false">
      <c r="A22" s="7" t="n">
        <f aca="false">IF($E$2+16&lt;=EOMONTH($E$2,0),$E$2+16,"")</f>
        <v>46312</v>
      </c>
      <c r="B22" s="41" t="n">
        <f aca="false">IF(A22="","",IF(COUNTIFS(H$6:H$36,H22,C$6:C$36,1)=0,"",IF(H22=H21,B21,1+MAX(B$5:B21))))</f>
        <v>3</v>
      </c>
      <c r="C22" s="41" t="n">
        <f aca="false">IF(A22="",0,IF(AND(WEEKDAY(A22,2)&lt;=5,COUNTIF(Folgas!$A$5:$A$300,A22)=0),1,0))</f>
        <v>0</v>
      </c>
      <c r="D22" s="41" t="n">
        <f aca="false">IF(C22=1,COUNTIFS(B$6:B22,B22,C$6:C22,1),0)</f>
        <v>0</v>
      </c>
      <c r="E22" s="41" t="n">
        <f aca="false">IF(OR(A22="",B22=""),0,COUNTIFS(B$6:B$36,B22,C$6:C$36,1))</f>
        <v>4</v>
      </c>
      <c r="F22" s="41" t="n">
        <f aca="false">IF(OR(A22="",B22=""),0,COUNTIFS(B$6:B$36,"&gt;="&amp;B22,C$6:C$36,1))</f>
        <v>14</v>
      </c>
      <c r="G22" s="41" t="n">
        <f aca="false">IF(OR(A22="",B22=""),0,IF(B22=B21,0,1))</f>
        <v>0</v>
      </c>
      <c r="H22" s="41" t="n">
        <f aca="false">IF(A22="","",INT((A22-$E$3)/7)+1)</f>
        <v>3</v>
      </c>
      <c r="J22" s="13" t="n">
        <f aca="false">IF($A22="",0,IF('Meta Diária'!G22&lt;&gt;"",'Meta Diária'!G22,IF(AND($C22=1,$A22&gt;='Base de Dados'!$B$6),O22,0)))</f>
        <v>0</v>
      </c>
      <c r="K22" s="13" t="n">
        <f aca="false">K21+J21</f>
        <v>8571.42857142857</v>
      </c>
      <c r="L22" s="13" t="n">
        <f aca="false">IF($A22="","",IF($G22=1,IF($B$2=0,0,$J$3*$E22/$B$2),L21))</f>
        <v>5714.28571428572</v>
      </c>
      <c r="M22" s="13" t="n">
        <f aca="false">IF($A22="","",IF($G22=1,IF('Base de Dados'!$B$7="Sim",IF($F22=0,0,MAX($J$3-K22,0)*$E22/$F22),MAX(L22,IF($F22=0,0,MAX($J$3-K22,0)*$E22/$F22))),M21))</f>
        <v>8571.42857142857</v>
      </c>
      <c r="N22" s="13" t="str">
        <f aca="false">IF($C22=1,M22/$E22,"")</f>
        <v/>
      </c>
      <c r="O22" s="13" t="str">
        <f aca="false">IF($C22&lt;&gt;1,"",IF('Base de Dados'!$B$7="Sim",MAX(M22-SUMIFS(J$5:J21,$B$5:$B21,$B22),0)/($E22-$D22+1),MAX(N22,MAX(M22-SUMIFS(J$5:J21,$B$5:$B21,$B22),0)/($E22-$D22+1))))</f>
        <v/>
      </c>
      <c r="P22" s="12" t="n">
        <f aca="false">IF($A22="",0,IF('Meta Diária'!I22&lt;&gt;"",'Meta Diária'!I22,IF(AND($C22=1,$A22&gt;='Base de Dados'!$B$6),AH22,0)))</f>
        <v>0</v>
      </c>
      <c r="Q22" s="12" t="n">
        <f aca="false">Q21+P21</f>
        <v>248</v>
      </c>
      <c r="R22" s="41" t="str">
        <f aca="false">IF($G22=1,IF(Q22&lt;S22-0.000000001,1,0),"")</f>
        <v/>
      </c>
      <c r="S22" s="12" t="str">
        <f aca="false">IF($G22=1,SUMIFS(AD$5:AD21,$G$5:$G21,1),"")</f>
        <v/>
      </c>
      <c r="T22" s="12" t="str">
        <f aca="false">IF($G22=1,IF(AND($E22&gt;=1,($F22-0)&gt;0),IF(R22=1,ROUNDUP(ROUND((MAX($P$3-Q22,0)-(0))/($F22-0),6),0),ROUND((MAX($P$3-Q22,0)-(0))/($F22-0),0)),0),"")</f>
        <v/>
      </c>
      <c r="U22" s="12" t="str">
        <f aca="false">IF($G22=1,IF(AND($E22&gt;=2,($F22-1)&gt;0),IF(R22=1,ROUNDUP(ROUND((MAX($P$3-Q22,0)-(T22))/($F22-1),6),0),ROUND((MAX($P$3-Q22,0)-(T22))/($F22-1),0)),0),"")</f>
        <v/>
      </c>
      <c r="V22" s="12" t="str">
        <f aca="false">IF($G22=1,IF(AND($E22&gt;=3,($F22-2)&gt;0),IF(R22=1,ROUNDUP(ROUND((MAX($P$3-Q22,0)-(T22+U22))/($F22-2),6),0),ROUND((MAX($P$3-Q22,0)-(T22+U22))/($F22-2),0)),0),"")</f>
        <v/>
      </c>
      <c r="W22" s="12" t="str">
        <f aca="false">IF($G22=1,IF(AND($E22&gt;=4,($F22-3)&gt;0),IF(R22=1,ROUNDUP(ROUND((MAX($P$3-Q22,0)-(T22+U22+V22))/($F22-3),6),0),ROUND((MAX($P$3-Q22,0)-(T22+U22+V22))/($F22-3),0)),0),"")</f>
        <v/>
      </c>
      <c r="X22" s="12" t="str">
        <f aca="false">IF($G22=1,IF(AND($E22&gt;=5,($F22-4)&gt;0),IF(R22=1,ROUNDUP(ROUND((MAX($P$3-Q22,0)-(T22+U22+V22+W22))/($F22-4),6),0),ROUND((MAX($P$3-Q22,0)-(T22+U22+V22+W22))/($F22-4),0)),0),"")</f>
        <v/>
      </c>
      <c r="Y22" s="12" t="str">
        <f aca="false">IF($G22=1,IF(AND($E22&gt;=1,($F22-0)&gt;0),ROUND((($P$3-S22)-(0))/($F22-0),0),0),"")</f>
        <v/>
      </c>
      <c r="Z22" s="12" t="str">
        <f aca="false">IF($G22=1,IF(AND($E22&gt;=2,($F22-1)&gt;0),ROUND((($P$3-S22)-(Y22))/($F22-1),0),0),"")</f>
        <v/>
      </c>
      <c r="AA22" s="12" t="str">
        <f aca="false">IF($G22=1,IF(AND($E22&gt;=3,($F22-2)&gt;0),ROUND((($P$3-S22)-(Y22+Z22))/($F22-2),0),0),"")</f>
        <v/>
      </c>
      <c r="AB22" s="12" t="str">
        <f aca="false">IF($G22=1,IF(AND($E22&gt;=4,($F22-3)&gt;0),ROUND((($P$3-S22)-(Y22+Z22+AA22))/($F22-3),0),0),"")</f>
        <v/>
      </c>
      <c r="AC22" s="12" t="str">
        <f aca="false">IF($G22=1,IF(AND($E22&gt;=5,($F22-4)&gt;0),ROUND((($P$3-S22)-(Y22+Z22+AA22+AB22))/($F22-4),0),0),"")</f>
        <v/>
      </c>
      <c r="AD22" s="12" t="n">
        <f aca="false">IF($A22="","",IF($G22=1,(Y22+Z22+AA22+AB22+AC22),AD21))</f>
        <v>164</v>
      </c>
      <c r="AE22" s="12" t="n">
        <f aca="false">IF($A22="","",IF($G22=1,IF('Base de Dados'!$B$7="Sim",(T22+U22+V22+W22+X22),MAX(AD22,(T22+U22+V22+W22+X22))),AE21))</f>
        <v>248</v>
      </c>
      <c r="AF22" s="12" t="n">
        <f aca="false">IF($A22="","",IF($G22=1,AD22,AF21-N(AG21)))</f>
        <v>0</v>
      </c>
      <c r="AG22" s="12" t="str">
        <f aca="false">IF($C22=1,ROUND(AF22/($E22-$D22+1),0),"")</f>
        <v/>
      </c>
      <c r="AH22" s="12" t="str">
        <f aca="false">IF($C22&lt;&gt;1,"",IF('Base de Dados'!$B$7="Sim",IF(SUMIFS(P$5:P21,$B$5:$B21,$B22)&lt;SUMIFS(AG$5:AG21,$B$5:$B21,$B22)-0.000000001,ROUNDUP(ROUND(MAX(AE22-SUMIFS(P$5:P21,$B$5:$B21,$B22),0)/($E22-$D22+1),6),0),ROUND(MAX(AE22-SUMIFS(P$5:P21,$B$5:$B21,$B22),0)/($E22-$D22+1),0)),MAX(AG22,IF(SUMIFS(P$5:P21,$B$5:$B21,$B22)&lt;SUMIFS(AG$5:AG21,$B$5:$B21,$B22)-0.000000001,ROUNDUP(ROUND(MAX(AE22-SUMIFS(P$5:P21,$B$5:$B21,$B22),0)/($E22-$D22+1),6),0),ROUND(MAX(AE22-SUMIFS(P$5:P21,$B$5:$B21,$B22),0)/($E22-$D22+1),0)))))</f>
        <v/>
      </c>
      <c r="AI22" s="12" t="n">
        <f aca="false">IF($A22="",0,IF('Meta Diária'!K22&lt;&gt;"",'Meta Diária'!K22,IF(AND($C22=1,$A22&gt;='Base de Dados'!$B$6),BA22,0)))</f>
        <v>0</v>
      </c>
      <c r="AJ22" s="12" t="n">
        <f aca="false">AJ21+AI21</f>
        <v>52</v>
      </c>
      <c r="AK22" s="41" t="str">
        <f aca="false">IF($G22=1,IF(AJ22&lt;AL22-0.000000001,1,0),"")</f>
        <v/>
      </c>
      <c r="AL22" s="12" t="str">
        <f aca="false">IF($G22=1,SUMIFS(AW$5:AW21,$G$5:$G21,1),"")</f>
        <v/>
      </c>
      <c r="AM22" s="12" t="str">
        <f aca="false">IF($G22=1,IF(AND($E22&gt;=1,($F22-0)&gt;0),IF(AK22=1,ROUNDUP(ROUND((MAX($AI$3-AJ22,0)-(0))/($F22-0),6),0),ROUND((MAX($AI$3-AJ22,0)-(0))/($F22-0),0)),0),"")</f>
        <v/>
      </c>
      <c r="AN22" s="12" t="str">
        <f aca="false">IF($G22=1,IF(AND($E22&gt;=2,($F22-1)&gt;0),IF(AK22=1,ROUNDUP(ROUND((MAX($AI$3-AJ22,0)-(AM22))/($F22-1),6),0),ROUND((MAX($AI$3-AJ22,0)-(AM22))/($F22-1),0)),0),"")</f>
        <v/>
      </c>
      <c r="AO22" s="12" t="str">
        <f aca="false">IF($G22=1,IF(AND($E22&gt;=3,($F22-2)&gt;0),IF(AK22=1,ROUNDUP(ROUND((MAX($AI$3-AJ22,0)-(AM22+AN22))/($F22-2),6),0),ROUND((MAX($AI$3-AJ22,0)-(AM22+AN22))/($F22-2),0)),0),"")</f>
        <v/>
      </c>
      <c r="AP22" s="12" t="str">
        <f aca="false">IF($G22=1,IF(AND($E22&gt;=4,($F22-3)&gt;0),IF(AK22=1,ROUNDUP(ROUND((MAX($AI$3-AJ22,0)-(AM22+AN22+AO22))/($F22-3),6),0),ROUND((MAX($AI$3-AJ22,0)-(AM22+AN22+AO22))/($F22-3),0)),0),"")</f>
        <v/>
      </c>
      <c r="AQ22" s="12" t="str">
        <f aca="false">IF($G22=1,IF(AND($E22&gt;=5,($F22-4)&gt;0),IF(AK22=1,ROUNDUP(ROUND((MAX($AI$3-AJ22,0)-(AM22+AN22+AO22+AP22))/($F22-4),6),0),ROUND((MAX($AI$3-AJ22,0)-(AM22+AN22+AO22+AP22))/($F22-4),0)),0),"")</f>
        <v/>
      </c>
      <c r="AR22" s="12" t="str">
        <f aca="false">IF($G22=1,IF(AND($E22&gt;=1,($F22-0)&gt;0),ROUND((($AI$3-AL22)-(0))/($F22-0),0),0),"")</f>
        <v/>
      </c>
      <c r="AS22" s="12" t="str">
        <f aca="false">IF($G22=1,IF(AND($E22&gt;=2,($F22-1)&gt;0),ROUND((($AI$3-AL22)-(AR22))/($F22-1),0),0),"")</f>
        <v/>
      </c>
      <c r="AT22" s="12" t="str">
        <f aca="false">IF($G22=1,IF(AND($E22&gt;=3,($F22-2)&gt;0),ROUND((($AI$3-AL22)-(AR22+AS22))/($F22-2),0),0),"")</f>
        <v/>
      </c>
      <c r="AU22" s="12" t="str">
        <f aca="false">IF($G22=1,IF(AND($E22&gt;=4,($F22-3)&gt;0),ROUND((($AI$3-AL22)-(AR22+AS22+AT22))/($F22-3),0),0),"")</f>
        <v/>
      </c>
      <c r="AV22" s="12" t="str">
        <f aca="false">IF($G22=1,IF(AND($E22&gt;=5,($F22-4)&gt;0),ROUND((($AI$3-AL22)-(AR22+AS22+AT22+AU22))/($F22-4),0),0),"")</f>
        <v/>
      </c>
      <c r="AW22" s="12" t="n">
        <f aca="false">IF($A22="","",IF($G22=1,(AR22+AS22+AT22+AU22+AV22),AW21))</f>
        <v>32</v>
      </c>
      <c r="AX22" s="12" t="n">
        <f aca="false">IF($A22="","",IF($G22=1,IF('Base de Dados'!$B$7="Sim",(AM22+AN22+AO22+AP22+AQ22),MAX(AW22,(AM22+AN22+AO22+AP22+AQ22))),AX21))</f>
        <v>52</v>
      </c>
      <c r="AY22" s="12" t="n">
        <f aca="false">IF($A22="","",IF($G22=1,AW22,AY21-N(AZ21)))</f>
        <v>0</v>
      </c>
      <c r="AZ22" s="12" t="str">
        <f aca="false">IF($C22=1,ROUND(AY22/($E22-$D22+1),0),"")</f>
        <v/>
      </c>
      <c r="BA22" s="12" t="str">
        <f aca="false">IF($C22&lt;&gt;1,"",IF('Base de Dados'!$B$7="Sim",IF(SUMIFS(AI$5:AI21,$B$5:$B21,$B22)&lt;SUMIFS(AZ$5:AZ21,$B$5:$B21,$B22)-0.000000001,ROUNDUP(ROUND(MAX(AX22-SUMIFS(AI$5:AI21,$B$5:$B21,$B22),0)/($E22-$D22+1),6),0),ROUND(MAX(AX22-SUMIFS(AI$5:AI21,$B$5:$B21,$B22),0)/($E22-$D22+1),0)),MAX(AZ22,IF(SUMIFS(AI$5:AI21,$B$5:$B21,$B22)&lt;SUMIFS(AZ$5:AZ21,$B$5:$B21,$B22)-0.000000001,ROUNDUP(ROUND(MAX(AX22-SUMIFS(AI$5:AI21,$B$5:$B21,$B22),0)/($E22-$D22+1),6),0),ROUND(MAX(AX22-SUMIFS(AI$5:AI21,$B$5:$B21,$B22),0)/($E22-$D22+1),0)))))</f>
        <v/>
      </c>
      <c r="BB22" s="12" t="n">
        <f aca="false">IF($A22="",0,IF('Meta Diária'!M22&lt;&gt;"",'Meta Diária'!M22,IF(AND($C22=1,$A22&gt;='Base de Dados'!$B$6),BT22,0)))</f>
        <v>0</v>
      </c>
      <c r="BC22" s="12" t="n">
        <f aca="false">BC21+BB21</f>
        <v>32</v>
      </c>
      <c r="BD22" s="41" t="str">
        <f aca="false">IF($G22=1,IF(BC22&lt;BE22-0.000000001,1,0),"")</f>
        <v/>
      </c>
      <c r="BE22" s="12" t="str">
        <f aca="false">IF($G22=1,SUMIFS(BP$5:BP21,$G$5:$G21,1),"")</f>
        <v/>
      </c>
      <c r="BF22" s="12" t="str">
        <f aca="false">IF($G22=1,IF(AND($E22&gt;=1,($F22-0)&gt;0),IF(BD22=1,ROUNDUP(ROUND((MAX($BB$3-BC22,0)-(0))/($F22-0),6),0),ROUND((MAX($BB$3-BC22,0)-(0))/($F22-0),0)),0),"")</f>
        <v/>
      </c>
      <c r="BG22" s="12" t="str">
        <f aca="false">IF($G22=1,IF(AND($E22&gt;=2,($F22-1)&gt;0),IF(BD22=1,ROUNDUP(ROUND((MAX($BB$3-BC22,0)-(BF22))/($F22-1),6),0),ROUND((MAX($BB$3-BC22,0)-(BF22))/($F22-1),0)),0),"")</f>
        <v/>
      </c>
      <c r="BH22" s="12" t="str">
        <f aca="false">IF($G22=1,IF(AND($E22&gt;=3,($F22-2)&gt;0),IF(BD22=1,ROUNDUP(ROUND((MAX($BB$3-BC22,0)-(BF22+BG22))/($F22-2),6),0),ROUND((MAX($BB$3-BC22,0)-(BF22+BG22))/($F22-2),0)),0),"")</f>
        <v/>
      </c>
      <c r="BI22" s="12" t="str">
        <f aca="false">IF($G22=1,IF(AND($E22&gt;=4,($F22-3)&gt;0),IF(BD22=1,ROUNDUP(ROUND((MAX($BB$3-BC22,0)-(BF22+BG22+BH22))/($F22-3),6),0),ROUND((MAX($BB$3-BC22,0)-(BF22+BG22+BH22))/($F22-3),0)),0),"")</f>
        <v/>
      </c>
      <c r="BJ22" s="12" t="str">
        <f aca="false">IF($G22=1,IF(AND($E22&gt;=5,($F22-4)&gt;0),IF(BD22=1,ROUNDUP(ROUND((MAX($BB$3-BC22,0)-(BF22+BG22+BH22+BI22))/($F22-4),6),0),ROUND((MAX($BB$3-BC22,0)-(BF22+BG22+BH22+BI22))/($F22-4),0)),0),"")</f>
        <v/>
      </c>
      <c r="BK22" s="12" t="str">
        <f aca="false">IF($G22=1,IF(AND($E22&gt;=1,($F22-0)&gt;0),ROUND((($BB$3-BE22)-(0))/($F22-0),0),0),"")</f>
        <v/>
      </c>
      <c r="BL22" s="12" t="str">
        <f aca="false">IF($G22=1,IF(AND($E22&gt;=2,($F22-1)&gt;0),ROUND((($BB$3-BE22)-(BK22))/($F22-1),0),0),"")</f>
        <v/>
      </c>
      <c r="BM22" s="12" t="str">
        <f aca="false">IF($G22=1,IF(AND($E22&gt;=3,($F22-2)&gt;0),ROUND((($BB$3-BE22)-(BK22+BL22))/($F22-2),0),0),"")</f>
        <v/>
      </c>
      <c r="BN22" s="12" t="str">
        <f aca="false">IF($G22=1,IF(AND($E22&gt;=4,($F22-3)&gt;0),ROUND((($BB$3-BE22)-(BK22+BL22+BM22))/($F22-3),0),0),"")</f>
        <v/>
      </c>
      <c r="BO22" s="12" t="str">
        <f aca="false">IF($G22=1,IF(AND($E22&gt;=5,($F22-4)&gt;0),ROUND((($BB$3-BE22)-(BK22+BL22+BM22+BN22))/($F22-4),0),0),"")</f>
        <v/>
      </c>
      <c r="BP22" s="12" t="n">
        <f aca="false">IF($A22="","",IF($G22=1,(BK22+BL22+BM22+BN22+BO22),BP21))</f>
        <v>20</v>
      </c>
      <c r="BQ22" s="12" t="n">
        <f aca="false">IF($A22="","",IF($G22=1,IF('Base de Dados'!$B$7="Sim",(BF22+BG22+BH22+BI22+BJ22),MAX(BP22,(BF22+BG22+BH22+BI22+BJ22))),BQ21))</f>
        <v>32</v>
      </c>
      <c r="BR22" s="12" t="n">
        <f aca="false">IF($A22="","",IF($G22=1,BP22,BR21-N(BS21)))</f>
        <v>0</v>
      </c>
      <c r="BS22" s="12" t="str">
        <f aca="false">IF($C22=1,ROUND(BR22/($E22-$D22+1),0),"")</f>
        <v/>
      </c>
      <c r="BT22" s="12" t="str">
        <f aca="false">IF($C22&lt;&gt;1,"",IF('Base de Dados'!$B$7="Sim",IF(SUMIFS(BB$5:BB21,$B$5:$B21,$B22)&lt;SUMIFS(BS$5:BS21,$B$5:$B21,$B22)-0.000000001,ROUNDUP(ROUND(MAX(BQ22-SUMIFS(BB$5:BB21,$B$5:$B21,$B22),0)/($E22-$D22+1),6),0),ROUND(MAX(BQ22-SUMIFS(BB$5:BB21,$B$5:$B21,$B22),0)/($E22-$D22+1),0)),MAX(BS22,IF(SUMIFS(BB$5:BB21,$B$5:$B21,$B22)&lt;SUMIFS(BS$5:BS21,$B$5:$B21,$B22)-0.000000001,ROUNDUP(ROUND(MAX(BQ22-SUMIFS(BB$5:BB21,$B$5:$B21,$B22),0)/($E22-$D22+1),6),0),ROUND(MAX(BQ22-SUMIFS(BB$5:BB21,$B$5:$B21,$B22),0)/($E22-$D22+1),0)))))</f>
        <v/>
      </c>
      <c r="BU22" s="12" t="n">
        <f aca="false">IF($A22="",0,IF('Meta Diária'!O22&lt;&gt;"",'Meta Diária'!O22,IF(AND($C22=1,$A22&gt;='Base de Dados'!$B$6),CM22,0)))</f>
        <v>0</v>
      </c>
      <c r="BV22" s="12" t="n">
        <f aca="false">BV21+BU21</f>
        <v>12</v>
      </c>
      <c r="BW22" s="41" t="str">
        <f aca="false">IF($G22=1,IF(BV22&lt;BX22-0.000000001,1,0),"")</f>
        <v/>
      </c>
      <c r="BX22" s="12" t="str">
        <f aca="false">IF($G22=1,SUMIFS(CI$5:CI21,$G$5:$G21,1),"")</f>
        <v/>
      </c>
      <c r="BY22" s="12" t="str">
        <f aca="false">IF($G22=1,IF(AND($E22&gt;=1,($F22-0)&gt;0),IF(BW22=1,ROUNDUP(ROUND((MAX($BU$3-BV22,0)-(0))/($F22-0),6),0),ROUND((MAX($BU$3-BV22,0)-(0))/($F22-0),0)),0),"")</f>
        <v/>
      </c>
      <c r="BZ22" s="12" t="str">
        <f aca="false">IF($G22=1,IF(AND($E22&gt;=2,($F22-1)&gt;0),IF(BW22=1,ROUNDUP(ROUND((MAX($BU$3-BV22,0)-(BY22))/($F22-1),6),0),ROUND((MAX($BU$3-BV22,0)-(BY22))/($F22-1),0)),0),"")</f>
        <v/>
      </c>
      <c r="CA22" s="12" t="str">
        <f aca="false">IF($G22=1,IF(AND($E22&gt;=3,($F22-2)&gt;0),IF(BW22=1,ROUNDUP(ROUND((MAX($BU$3-BV22,0)-(BY22+BZ22))/($F22-2),6),0),ROUND((MAX($BU$3-BV22,0)-(BY22+BZ22))/($F22-2),0)),0),"")</f>
        <v/>
      </c>
      <c r="CB22" s="12" t="str">
        <f aca="false">IF($G22=1,IF(AND($E22&gt;=4,($F22-3)&gt;0),IF(BW22=1,ROUNDUP(ROUND((MAX($BU$3-BV22,0)-(BY22+BZ22+CA22))/($F22-3),6),0),ROUND((MAX($BU$3-BV22,0)-(BY22+BZ22+CA22))/($F22-3),0)),0),"")</f>
        <v/>
      </c>
      <c r="CC22" s="12" t="str">
        <f aca="false">IF($G22=1,IF(AND($E22&gt;=5,($F22-4)&gt;0),IF(BW22=1,ROUNDUP(ROUND((MAX($BU$3-BV22,0)-(BY22+BZ22+CA22+CB22))/($F22-4),6),0),ROUND((MAX($BU$3-BV22,0)-(BY22+BZ22+CA22+CB22))/($F22-4),0)),0),"")</f>
        <v/>
      </c>
      <c r="CD22" s="12" t="str">
        <f aca="false">IF($G22=1,IF(AND($E22&gt;=1,($F22-0)&gt;0),ROUND((($BU$3-BX22)-(0))/($F22-0),0),0),"")</f>
        <v/>
      </c>
      <c r="CE22" s="12" t="str">
        <f aca="false">IF($G22=1,IF(AND($E22&gt;=2,($F22-1)&gt;0),ROUND((($BU$3-BX22)-(CD22))/($F22-1),0),0),"")</f>
        <v/>
      </c>
      <c r="CF22" s="12" t="str">
        <f aca="false">IF($G22=1,IF(AND($E22&gt;=3,($F22-2)&gt;0),ROUND((($BU$3-BX22)-(CD22+CE22))/($F22-2),0),0),"")</f>
        <v/>
      </c>
      <c r="CG22" s="12" t="str">
        <f aca="false">IF($G22=1,IF(AND($E22&gt;=4,($F22-3)&gt;0),ROUND((($BU$3-BX22)-(CD22+CE22+CF22))/($F22-3),0),0),"")</f>
        <v/>
      </c>
      <c r="CH22" s="12" t="str">
        <f aca="false">IF($G22=1,IF(AND($E22&gt;=5,($F22-4)&gt;0),ROUND((($BU$3-BX22)-(CD22+CE22+CF22+CG22))/($F22-4),0),0),"")</f>
        <v/>
      </c>
      <c r="CI22" s="12" t="n">
        <f aca="false">IF($A22="","",IF($G22=1,(CD22+CE22+CF22+CG22+CH22),CI21))</f>
        <v>6</v>
      </c>
      <c r="CJ22" s="12" t="n">
        <f aca="false">IF($A22="","",IF($G22=1,IF('Base de Dados'!$B$7="Sim",(BY22+BZ22+CA22+CB22+CC22),MAX(CI22,(BY22+BZ22+CA22+CB22+CC22))),CJ21))</f>
        <v>12</v>
      </c>
      <c r="CK22" s="12" t="n">
        <f aca="false">IF($A22="","",IF($G22=1,CI22,CK21-N(CL21)))</f>
        <v>0</v>
      </c>
      <c r="CL22" s="12" t="str">
        <f aca="false">IF($C22=1,ROUND(CK22/($E22-$D22+1),0),"")</f>
        <v/>
      </c>
      <c r="CM22" s="12" t="str">
        <f aca="false">IF($C22&lt;&gt;1,"",IF('Base de Dados'!$B$7="Sim",IF(SUMIFS(BU$5:BU21,$B$5:$B21,$B22)&lt;SUMIFS(CL$5:CL21,$B$5:$B21,$B22)-0.000000001,ROUNDUP(ROUND(MAX(CJ22-SUMIFS(BU$5:BU21,$B$5:$B21,$B22),0)/($E22-$D22+1),6),0),ROUND(MAX(CJ22-SUMIFS(BU$5:BU21,$B$5:$B21,$B22),0)/($E22-$D22+1),0)),MAX(CL22,IF(SUMIFS(BU$5:BU21,$B$5:$B21,$B22)&lt;SUMIFS(CL$5:CL21,$B$5:$B21,$B22)-0.000000001,ROUNDUP(ROUND(MAX(CJ22-SUMIFS(BU$5:BU21,$B$5:$B21,$B22),0)/($E22-$D22+1),6),0),ROUND(MAX(CJ22-SUMIFS(BU$5:BU21,$B$5:$B21,$B22),0)/($E22-$D22+1),0)))))</f>
        <v/>
      </c>
    </row>
    <row r="23" customFormat="false" ht="15" hidden="false" customHeight="false" outlineLevel="0" collapsed="false">
      <c r="A23" s="7" t="n">
        <f aca="false">IF($E$2+17&lt;=EOMONTH($E$2,0),$E$2+17,"")</f>
        <v>46313</v>
      </c>
      <c r="B23" s="41" t="n">
        <f aca="false">IF(A23="","",IF(COUNTIFS(H$6:H$36,H23,C$6:C$36,1)=0,"",IF(H23=H22,B22,1+MAX(B$5:B22))))</f>
        <v>3</v>
      </c>
      <c r="C23" s="41" t="n">
        <f aca="false">IF(A23="",0,IF(AND(WEEKDAY(A23,2)&lt;=5,COUNTIF(Folgas!$A$5:$A$300,A23)=0),1,0))</f>
        <v>0</v>
      </c>
      <c r="D23" s="41" t="n">
        <f aca="false">IF(C23=1,COUNTIFS(B$6:B23,B23,C$6:C23,1),0)</f>
        <v>0</v>
      </c>
      <c r="E23" s="41" t="n">
        <f aca="false">IF(OR(A23="",B23=""),0,COUNTIFS(B$6:B$36,B23,C$6:C$36,1))</f>
        <v>4</v>
      </c>
      <c r="F23" s="41" t="n">
        <f aca="false">IF(OR(A23="",B23=""),0,COUNTIFS(B$6:B$36,"&gt;="&amp;B23,C$6:C$36,1))</f>
        <v>14</v>
      </c>
      <c r="G23" s="41" t="n">
        <f aca="false">IF(OR(A23="",B23=""),0,IF(B23=B22,0,1))</f>
        <v>0</v>
      </c>
      <c r="H23" s="41" t="n">
        <f aca="false">IF(A23="","",INT((A23-$E$3)/7)+1)</f>
        <v>3</v>
      </c>
      <c r="J23" s="13" t="n">
        <f aca="false">IF($A23="",0,IF('Meta Diária'!G23&lt;&gt;"",'Meta Diária'!G23,IF(AND($C23=1,$A23&gt;='Base de Dados'!$B$6),O23,0)))</f>
        <v>0</v>
      </c>
      <c r="K23" s="13" t="n">
        <f aca="false">K22+J22</f>
        <v>8571.42857142857</v>
      </c>
      <c r="L23" s="13" t="n">
        <f aca="false">IF($A23="","",IF($G23=1,IF($B$2=0,0,$J$3*$E23/$B$2),L22))</f>
        <v>5714.28571428572</v>
      </c>
      <c r="M23" s="13" t="n">
        <f aca="false">IF($A23="","",IF($G23=1,IF('Base de Dados'!$B$7="Sim",IF($F23=0,0,MAX($J$3-K23,0)*$E23/$F23),MAX(L23,IF($F23=0,0,MAX($J$3-K23,0)*$E23/$F23))),M22))</f>
        <v>8571.42857142857</v>
      </c>
      <c r="N23" s="13" t="str">
        <f aca="false">IF($C23=1,M23/$E23,"")</f>
        <v/>
      </c>
      <c r="O23" s="13" t="str">
        <f aca="false">IF($C23&lt;&gt;1,"",IF('Base de Dados'!$B$7="Sim",MAX(M23-SUMIFS(J$5:J22,$B$5:$B22,$B23),0)/($E23-$D23+1),MAX(N23,MAX(M23-SUMIFS(J$5:J22,$B$5:$B22,$B23),0)/($E23-$D23+1))))</f>
        <v/>
      </c>
      <c r="P23" s="12" t="n">
        <f aca="false">IF($A23="",0,IF('Meta Diária'!I23&lt;&gt;"",'Meta Diária'!I23,IF(AND($C23=1,$A23&gt;='Base de Dados'!$B$6),AH23,0)))</f>
        <v>0</v>
      </c>
      <c r="Q23" s="12" t="n">
        <f aca="false">Q22+P22</f>
        <v>248</v>
      </c>
      <c r="R23" s="41" t="str">
        <f aca="false">IF($G23=1,IF(Q23&lt;S23-0.000000001,1,0),"")</f>
        <v/>
      </c>
      <c r="S23" s="12" t="str">
        <f aca="false">IF($G23=1,SUMIFS(AD$5:AD22,$G$5:$G22,1),"")</f>
        <v/>
      </c>
      <c r="T23" s="12" t="str">
        <f aca="false">IF($G23=1,IF(AND($E23&gt;=1,($F23-0)&gt;0),IF(R23=1,ROUNDUP(ROUND((MAX($P$3-Q23,0)-(0))/($F23-0),6),0),ROUND((MAX($P$3-Q23,0)-(0))/($F23-0),0)),0),"")</f>
        <v/>
      </c>
      <c r="U23" s="12" t="str">
        <f aca="false">IF($G23=1,IF(AND($E23&gt;=2,($F23-1)&gt;0),IF(R23=1,ROUNDUP(ROUND((MAX($P$3-Q23,0)-(T23))/($F23-1),6),0),ROUND((MAX($P$3-Q23,0)-(T23))/($F23-1),0)),0),"")</f>
        <v/>
      </c>
      <c r="V23" s="12" t="str">
        <f aca="false">IF($G23=1,IF(AND($E23&gt;=3,($F23-2)&gt;0),IF(R23=1,ROUNDUP(ROUND((MAX($P$3-Q23,0)-(T23+U23))/($F23-2),6),0),ROUND((MAX($P$3-Q23,0)-(T23+U23))/($F23-2),0)),0),"")</f>
        <v/>
      </c>
      <c r="W23" s="12" t="str">
        <f aca="false">IF($G23=1,IF(AND($E23&gt;=4,($F23-3)&gt;0),IF(R23=1,ROUNDUP(ROUND((MAX($P$3-Q23,0)-(T23+U23+V23))/($F23-3),6),0),ROUND((MAX($P$3-Q23,0)-(T23+U23+V23))/($F23-3),0)),0),"")</f>
        <v/>
      </c>
      <c r="X23" s="12" t="str">
        <f aca="false">IF($G23=1,IF(AND($E23&gt;=5,($F23-4)&gt;0),IF(R23=1,ROUNDUP(ROUND((MAX($P$3-Q23,0)-(T23+U23+V23+W23))/($F23-4),6),0),ROUND((MAX($P$3-Q23,0)-(T23+U23+V23+W23))/($F23-4),0)),0),"")</f>
        <v/>
      </c>
      <c r="Y23" s="12" t="str">
        <f aca="false">IF($G23=1,IF(AND($E23&gt;=1,($F23-0)&gt;0),ROUND((($P$3-S23)-(0))/($F23-0),0),0),"")</f>
        <v/>
      </c>
      <c r="Z23" s="12" t="str">
        <f aca="false">IF($G23=1,IF(AND($E23&gt;=2,($F23-1)&gt;0),ROUND((($P$3-S23)-(Y23))/($F23-1),0),0),"")</f>
        <v/>
      </c>
      <c r="AA23" s="12" t="str">
        <f aca="false">IF($G23=1,IF(AND($E23&gt;=3,($F23-2)&gt;0),ROUND((($P$3-S23)-(Y23+Z23))/($F23-2),0),0),"")</f>
        <v/>
      </c>
      <c r="AB23" s="12" t="str">
        <f aca="false">IF($G23=1,IF(AND($E23&gt;=4,($F23-3)&gt;0),ROUND((($P$3-S23)-(Y23+Z23+AA23))/($F23-3),0),0),"")</f>
        <v/>
      </c>
      <c r="AC23" s="12" t="str">
        <f aca="false">IF($G23=1,IF(AND($E23&gt;=5,($F23-4)&gt;0),ROUND((($P$3-S23)-(Y23+Z23+AA23+AB23))/($F23-4),0),0),"")</f>
        <v/>
      </c>
      <c r="AD23" s="12" t="n">
        <f aca="false">IF($A23="","",IF($G23=1,(Y23+Z23+AA23+AB23+AC23),AD22))</f>
        <v>164</v>
      </c>
      <c r="AE23" s="12" t="n">
        <f aca="false">IF($A23="","",IF($G23=1,IF('Base de Dados'!$B$7="Sim",(T23+U23+V23+W23+X23),MAX(AD23,(T23+U23+V23+W23+X23))),AE22))</f>
        <v>248</v>
      </c>
      <c r="AF23" s="12" t="n">
        <f aca="false">IF($A23="","",IF($G23=1,AD23,AF22-N(AG22)))</f>
        <v>0</v>
      </c>
      <c r="AG23" s="12" t="str">
        <f aca="false">IF($C23=1,ROUND(AF23/($E23-$D23+1),0),"")</f>
        <v/>
      </c>
      <c r="AH23" s="12" t="str">
        <f aca="false">IF($C23&lt;&gt;1,"",IF('Base de Dados'!$B$7="Sim",IF(SUMIFS(P$5:P22,$B$5:$B22,$B23)&lt;SUMIFS(AG$5:AG22,$B$5:$B22,$B23)-0.000000001,ROUNDUP(ROUND(MAX(AE23-SUMIFS(P$5:P22,$B$5:$B22,$B23),0)/($E23-$D23+1),6),0),ROUND(MAX(AE23-SUMIFS(P$5:P22,$B$5:$B22,$B23),0)/($E23-$D23+1),0)),MAX(AG23,IF(SUMIFS(P$5:P22,$B$5:$B22,$B23)&lt;SUMIFS(AG$5:AG22,$B$5:$B22,$B23)-0.000000001,ROUNDUP(ROUND(MAX(AE23-SUMIFS(P$5:P22,$B$5:$B22,$B23),0)/($E23-$D23+1),6),0),ROUND(MAX(AE23-SUMIFS(P$5:P22,$B$5:$B22,$B23),0)/($E23-$D23+1),0)))))</f>
        <v/>
      </c>
      <c r="AI23" s="12" t="n">
        <f aca="false">IF($A23="",0,IF('Meta Diária'!K23&lt;&gt;"",'Meta Diária'!K23,IF(AND($C23=1,$A23&gt;='Base de Dados'!$B$6),BA23,0)))</f>
        <v>0</v>
      </c>
      <c r="AJ23" s="12" t="n">
        <f aca="false">AJ22+AI22</f>
        <v>52</v>
      </c>
      <c r="AK23" s="41" t="str">
        <f aca="false">IF($G23=1,IF(AJ23&lt;AL23-0.000000001,1,0),"")</f>
        <v/>
      </c>
      <c r="AL23" s="12" t="str">
        <f aca="false">IF($G23=1,SUMIFS(AW$5:AW22,$G$5:$G22,1),"")</f>
        <v/>
      </c>
      <c r="AM23" s="12" t="str">
        <f aca="false">IF($G23=1,IF(AND($E23&gt;=1,($F23-0)&gt;0),IF(AK23=1,ROUNDUP(ROUND((MAX($AI$3-AJ23,0)-(0))/($F23-0),6),0),ROUND((MAX($AI$3-AJ23,0)-(0))/($F23-0),0)),0),"")</f>
        <v/>
      </c>
      <c r="AN23" s="12" t="str">
        <f aca="false">IF($G23=1,IF(AND($E23&gt;=2,($F23-1)&gt;0),IF(AK23=1,ROUNDUP(ROUND((MAX($AI$3-AJ23,0)-(AM23))/($F23-1),6),0),ROUND((MAX($AI$3-AJ23,0)-(AM23))/($F23-1),0)),0),"")</f>
        <v/>
      </c>
      <c r="AO23" s="12" t="str">
        <f aca="false">IF($G23=1,IF(AND($E23&gt;=3,($F23-2)&gt;0),IF(AK23=1,ROUNDUP(ROUND((MAX($AI$3-AJ23,0)-(AM23+AN23))/($F23-2),6),0),ROUND((MAX($AI$3-AJ23,0)-(AM23+AN23))/($F23-2),0)),0),"")</f>
        <v/>
      </c>
      <c r="AP23" s="12" t="str">
        <f aca="false">IF($G23=1,IF(AND($E23&gt;=4,($F23-3)&gt;0),IF(AK23=1,ROUNDUP(ROUND((MAX($AI$3-AJ23,0)-(AM23+AN23+AO23))/($F23-3),6),0),ROUND((MAX($AI$3-AJ23,0)-(AM23+AN23+AO23))/($F23-3),0)),0),"")</f>
        <v/>
      </c>
      <c r="AQ23" s="12" t="str">
        <f aca="false">IF($G23=1,IF(AND($E23&gt;=5,($F23-4)&gt;0),IF(AK23=1,ROUNDUP(ROUND((MAX($AI$3-AJ23,0)-(AM23+AN23+AO23+AP23))/($F23-4),6),0),ROUND((MAX($AI$3-AJ23,0)-(AM23+AN23+AO23+AP23))/($F23-4),0)),0),"")</f>
        <v/>
      </c>
      <c r="AR23" s="12" t="str">
        <f aca="false">IF($G23=1,IF(AND($E23&gt;=1,($F23-0)&gt;0),ROUND((($AI$3-AL23)-(0))/($F23-0),0),0),"")</f>
        <v/>
      </c>
      <c r="AS23" s="12" t="str">
        <f aca="false">IF($G23=1,IF(AND($E23&gt;=2,($F23-1)&gt;0),ROUND((($AI$3-AL23)-(AR23))/($F23-1),0),0),"")</f>
        <v/>
      </c>
      <c r="AT23" s="12" t="str">
        <f aca="false">IF($G23=1,IF(AND($E23&gt;=3,($F23-2)&gt;0),ROUND((($AI$3-AL23)-(AR23+AS23))/($F23-2),0),0),"")</f>
        <v/>
      </c>
      <c r="AU23" s="12" t="str">
        <f aca="false">IF($G23=1,IF(AND($E23&gt;=4,($F23-3)&gt;0),ROUND((($AI$3-AL23)-(AR23+AS23+AT23))/($F23-3),0),0),"")</f>
        <v/>
      </c>
      <c r="AV23" s="12" t="str">
        <f aca="false">IF($G23=1,IF(AND($E23&gt;=5,($F23-4)&gt;0),ROUND((($AI$3-AL23)-(AR23+AS23+AT23+AU23))/($F23-4),0),0),"")</f>
        <v/>
      </c>
      <c r="AW23" s="12" t="n">
        <f aca="false">IF($A23="","",IF($G23=1,(AR23+AS23+AT23+AU23+AV23),AW22))</f>
        <v>32</v>
      </c>
      <c r="AX23" s="12" t="n">
        <f aca="false">IF($A23="","",IF($G23=1,IF('Base de Dados'!$B$7="Sim",(AM23+AN23+AO23+AP23+AQ23),MAX(AW23,(AM23+AN23+AO23+AP23+AQ23))),AX22))</f>
        <v>52</v>
      </c>
      <c r="AY23" s="12" t="n">
        <f aca="false">IF($A23="","",IF($G23=1,AW23,AY22-N(AZ22)))</f>
        <v>0</v>
      </c>
      <c r="AZ23" s="12" t="str">
        <f aca="false">IF($C23=1,ROUND(AY23/($E23-$D23+1),0),"")</f>
        <v/>
      </c>
      <c r="BA23" s="12" t="str">
        <f aca="false">IF($C23&lt;&gt;1,"",IF('Base de Dados'!$B$7="Sim",IF(SUMIFS(AI$5:AI22,$B$5:$B22,$B23)&lt;SUMIFS(AZ$5:AZ22,$B$5:$B22,$B23)-0.000000001,ROUNDUP(ROUND(MAX(AX23-SUMIFS(AI$5:AI22,$B$5:$B22,$B23),0)/($E23-$D23+1),6),0),ROUND(MAX(AX23-SUMIFS(AI$5:AI22,$B$5:$B22,$B23),0)/($E23-$D23+1),0)),MAX(AZ23,IF(SUMIFS(AI$5:AI22,$B$5:$B22,$B23)&lt;SUMIFS(AZ$5:AZ22,$B$5:$B22,$B23)-0.000000001,ROUNDUP(ROUND(MAX(AX23-SUMIFS(AI$5:AI22,$B$5:$B22,$B23),0)/($E23-$D23+1),6),0),ROUND(MAX(AX23-SUMIFS(AI$5:AI22,$B$5:$B22,$B23),0)/($E23-$D23+1),0)))))</f>
        <v/>
      </c>
      <c r="BB23" s="12" t="n">
        <f aca="false">IF($A23="",0,IF('Meta Diária'!M23&lt;&gt;"",'Meta Diária'!M23,IF(AND($C23=1,$A23&gt;='Base de Dados'!$B$6),BT23,0)))</f>
        <v>0</v>
      </c>
      <c r="BC23" s="12" t="n">
        <f aca="false">BC22+BB22</f>
        <v>32</v>
      </c>
      <c r="BD23" s="41" t="str">
        <f aca="false">IF($G23=1,IF(BC23&lt;BE23-0.000000001,1,0),"")</f>
        <v/>
      </c>
      <c r="BE23" s="12" t="str">
        <f aca="false">IF($G23=1,SUMIFS(BP$5:BP22,$G$5:$G22,1),"")</f>
        <v/>
      </c>
      <c r="BF23" s="12" t="str">
        <f aca="false">IF($G23=1,IF(AND($E23&gt;=1,($F23-0)&gt;0),IF(BD23=1,ROUNDUP(ROUND((MAX($BB$3-BC23,0)-(0))/($F23-0),6),0),ROUND((MAX($BB$3-BC23,0)-(0))/($F23-0),0)),0),"")</f>
        <v/>
      </c>
      <c r="BG23" s="12" t="str">
        <f aca="false">IF($G23=1,IF(AND($E23&gt;=2,($F23-1)&gt;0),IF(BD23=1,ROUNDUP(ROUND((MAX($BB$3-BC23,0)-(BF23))/($F23-1),6),0),ROUND((MAX($BB$3-BC23,0)-(BF23))/($F23-1),0)),0),"")</f>
        <v/>
      </c>
      <c r="BH23" s="12" t="str">
        <f aca="false">IF($G23=1,IF(AND($E23&gt;=3,($F23-2)&gt;0),IF(BD23=1,ROUNDUP(ROUND((MAX($BB$3-BC23,0)-(BF23+BG23))/($F23-2),6),0),ROUND((MAX($BB$3-BC23,0)-(BF23+BG23))/($F23-2),0)),0),"")</f>
        <v/>
      </c>
      <c r="BI23" s="12" t="str">
        <f aca="false">IF($G23=1,IF(AND($E23&gt;=4,($F23-3)&gt;0),IF(BD23=1,ROUNDUP(ROUND((MAX($BB$3-BC23,0)-(BF23+BG23+BH23))/($F23-3),6),0),ROUND((MAX($BB$3-BC23,0)-(BF23+BG23+BH23))/($F23-3),0)),0),"")</f>
        <v/>
      </c>
      <c r="BJ23" s="12" t="str">
        <f aca="false">IF($G23=1,IF(AND($E23&gt;=5,($F23-4)&gt;0),IF(BD23=1,ROUNDUP(ROUND((MAX($BB$3-BC23,0)-(BF23+BG23+BH23+BI23))/($F23-4),6),0),ROUND((MAX($BB$3-BC23,0)-(BF23+BG23+BH23+BI23))/($F23-4),0)),0),"")</f>
        <v/>
      </c>
      <c r="BK23" s="12" t="str">
        <f aca="false">IF($G23=1,IF(AND($E23&gt;=1,($F23-0)&gt;0),ROUND((($BB$3-BE23)-(0))/($F23-0),0),0),"")</f>
        <v/>
      </c>
      <c r="BL23" s="12" t="str">
        <f aca="false">IF($G23=1,IF(AND($E23&gt;=2,($F23-1)&gt;0),ROUND((($BB$3-BE23)-(BK23))/($F23-1),0),0),"")</f>
        <v/>
      </c>
      <c r="BM23" s="12" t="str">
        <f aca="false">IF($G23=1,IF(AND($E23&gt;=3,($F23-2)&gt;0),ROUND((($BB$3-BE23)-(BK23+BL23))/($F23-2),0),0),"")</f>
        <v/>
      </c>
      <c r="BN23" s="12" t="str">
        <f aca="false">IF($G23=1,IF(AND($E23&gt;=4,($F23-3)&gt;0),ROUND((($BB$3-BE23)-(BK23+BL23+BM23))/($F23-3),0),0),"")</f>
        <v/>
      </c>
      <c r="BO23" s="12" t="str">
        <f aca="false">IF($G23=1,IF(AND($E23&gt;=5,($F23-4)&gt;0),ROUND((($BB$3-BE23)-(BK23+BL23+BM23+BN23))/($F23-4),0),0),"")</f>
        <v/>
      </c>
      <c r="BP23" s="12" t="n">
        <f aca="false">IF($A23="","",IF($G23=1,(BK23+BL23+BM23+BN23+BO23),BP22))</f>
        <v>20</v>
      </c>
      <c r="BQ23" s="12" t="n">
        <f aca="false">IF($A23="","",IF($G23=1,IF('Base de Dados'!$B$7="Sim",(BF23+BG23+BH23+BI23+BJ23),MAX(BP23,(BF23+BG23+BH23+BI23+BJ23))),BQ22))</f>
        <v>32</v>
      </c>
      <c r="BR23" s="12" t="n">
        <f aca="false">IF($A23="","",IF($G23=1,BP23,BR22-N(BS22)))</f>
        <v>0</v>
      </c>
      <c r="BS23" s="12" t="str">
        <f aca="false">IF($C23=1,ROUND(BR23/($E23-$D23+1),0),"")</f>
        <v/>
      </c>
      <c r="BT23" s="12" t="str">
        <f aca="false">IF($C23&lt;&gt;1,"",IF('Base de Dados'!$B$7="Sim",IF(SUMIFS(BB$5:BB22,$B$5:$B22,$B23)&lt;SUMIFS(BS$5:BS22,$B$5:$B22,$B23)-0.000000001,ROUNDUP(ROUND(MAX(BQ23-SUMIFS(BB$5:BB22,$B$5:$B22,$B23),0)/($E23-$D23+1),6),0),ROUND(MAX(BQ23-SUMIFS(BB$5:BB22,$B$5:$B22,$B23),0)/($E23-$D23+1),0)),MAX(BS23,IF(SUMIFS(BB$5:BB22,$B$5:$B22,$B23)&lt;SUMIFS(BS$5:BS22,$B$5:$B22,$B23)-0.000000001,ROUNDUP(ROUND(MAX(BQ23-SUMIFS(BB$5:BB22,$B$5:$B22,$B23),0)/($E23-$D23+1),6),0),ROUND(MAX(BQ23-SUMIFS(BB$5:BB22,$B$5:$B22,$B23),0)/($E23-$D23+1),0)))))</f>
        <v/>
      </c>
      <c r="BU23" s="12" t="n">
        <f aca="false">IF($A23="",0,IF('Meta Diária'!O23&lt;&gt;"",'Meta Diária'!O23,IF(AND($C23=1,$A23&gt;='Base de Dados'!$B$6),CM23,0)))</f>
        <v>0</v>
      </c>
      <c r="BV23" s="12" t="n">
        <f aca="false">BV22+BU22</f>
        <v>12</v>
      </c>
      <c r="BW23" s="41" t="str">
        <f aca="false">IF($G23=1,IF(BV23&lt;BX23-0.000000001,1,0),"")</f>
        <v/>
      </c>
      <c r="BX23" s="12" t="str">
        <f aca="false">IF($G23=1,SUMIFS(CI$5:CI22,$G$5:$G22,1),"")</f>
        <v/>
      </c>
      <c r="BY23" s="12" t="str">
        <f aca="false">IF($G23=1,IF(AND($E23&gt;=1,($F23-0)&gt;0),IF(BW23=1,ROUNDUP(ROUND((MAX($BU$3-BV23,0)-(0))/($F23-0),6),0),ROUND((MAX($BU$3-BV23,0)-(0))/($F23-0),0)),0),"")</f>
        <v/>
      </c>
      <c r="BZ23" s="12" t="str">
        <f aca="false">IF($G23=1,IF(AND($E23&gt;=2,($F23-1)&gt;0),IF(BW23=1,ROUNDUP(ROUND((MAX($BU$3-BV23,0)-(BY23))/($F23-1),6),0),ROUND((MAX($BU$3-BV23,0)-(BY23))/($F23-1),0)),0),"")</f>
        <v/>
      </c>
      <c r="CA23" s="12" t="str">
        <f aca="false">IF($G23=1,IF(AND($E23&gt;=3,($F23-2)&gt;0),IF(BW23=1,ROUNDUP(ROUND((MAX($BU$3-BV23,0)-(BY23+BZ23))/($F23-2),6),0),ROUND((MAX($BU$3-BV23,0)-(BY23+BZ23))/($F23-2),0)),0),"")</f>
        <v/>
      </c>
      <c r="CB23" s="12" t="str">
        <f aca="false">IF($G23=1,IF(AND($E23&gt;=4,($F23-3)&gt;0),IF(BW23=1,ROUNDUP(ROUND((MAX($BU$3-BV23,0)-(BY23+BZ23+CA23))/($F23-3),6),0),ROUND((MAX($BU$3-BV23,0)-(BY23+BZ23+CA23))/($F23-3),0)),0),"")</f>
        <v/>
      </c>
      <c r="CC23" s="12" t="str">
        <f aca="false">IF($G23=1,IF(AND($E23&gt;=5,($F23-4)&gt;0),IF(BW23=1,ROUNDUP(ROUND((MAX($BU$3-BV23,0)-(BY23+BZ23+CA23+CB23))/($F23-4),6),0),ROUND((MAX($BU$3-BV23,0)-(BY23+BZ23+CA23+CB23))/($F23-4),0)),0),"")</f>
        <v/>
      </c>
      <c r="CD23" s="12" t="str">
        <f aca="false">IF($G23=1,IF(AND($E23&gt;=1,($F23-0)&gt;0),ROUND((($BU$3-BX23)-(0))/($F23-0),0),0),"")</f>
        <v/>
      </c>
      <c r="CE23" s="12" t="str">
        <f aca="false">IF($G23=1,IF(AND($E23&gt;=2,($F23-1)&gt;0),ROUND((($BU$3-BX23)-(CD23))/($F23-1),0),0),"")</f>
        <v/>
      </c>
      <c r="CF23" s="12" t="str">
        <f aca="false">IF($G23=1,IF(AND($E23&gt;=3,($F23-2)&gt;0),ROUND((($BU$3-BX23)-(CD23+CE23))/($F23-2),0),0),"")</f>
        <v/>
      </c>
      <c r="CG23" s="12" t="str">
        <f aca="false">IF($G23=1,IF(AND($E23&gt;=4,($F23-3)&gt;0),ROUND((($BU$3-BX23)-(CD23+CE23+CF23))/($F23-3),0),0),"")</f>
        <v/>
      </c>
      <c r="CH23" s="12" t="str">
        <f aca="false">IF($G23=1,IF(AND($E23&gt;=5,($F23-4)&gt;0),ROUND((($BU$3-BX23)-(CD23+CE23+CF23+CG23))/($F23-4),0),0),"")</f>
        <v/>
      </c>
      <c r="CI23" s="12" t="n">
        <f aca="false">IF($A23="","",IF($G23=1,(CD23+CE23+CF23+CG23+CH23),CI22))</f>
        <v>6</v>
      </c>
      <c r="CJ23" s="12" t="n">
        <f aca="false">IF($A23="","",IF($G23=1,IF('Base de Dados'!$B$7="Sim",(BY23+BZ23+CA23+CB23+CC23),MAX(CI23,(BY23+BZ23+CA23+CB23+CC23))),CJ22))</f>
        <v>12</v>
      </c>
      <c r="CK23" s="12" t="n">
        <f aca="false">IF($A23="","",IF($G23=1,CI23,CK22-N(CL22)))</f>
        <v>0</v>
      </c>
      <c r="CL23" s="12" t="str">
        <f aca="false">IF($C23=1,ROUND(CK23/($E23-$D23+1),0),"")</f>
        <v/>
      </c>
      <c r="CM23" s="12" t="str">
        <f aca="false">IF($C23&lt;&gt;1,"",IF('Base de Dados'!$B$7="Sim",IF(SUMIFS(BU$5:BU22,$B$5:$B22,$B23)&lt;SUMIFS(CL$5:CL22,$B$5:$B22,$B23)-0.000000001,ROUNDUP(ROUND(MAX(CJ23-SUMIFS(BU$5:BU22,$B$5:$B22,$B23),0)/($E23-$D23+1),6),0),ROUND(MAX(CJ23-SUMIFS(BU$5:BU22,$B$5:$B22,$B23),0)/($E23-$D23+1),0)),MAX(CL23,IF(SUMIFS(BU$5:BU22,$B$5:$B22,$B23)&lt;SUMIFS(CL$5:CL22,$B$5:$B22,$B23)-0.000000001,ROUNDUP(ROUND(MAX(CJ23-SUMIFS(BU$5:BU22,$B$5:$B22,$B23),0)/($E23-$D23+1),6),0),ROUND(MAX(CJ23-SUMIFS(BU$5:BU22,$B$5:$B22,$B23),0)/($E23-$D23+1),0)))))</f>
        <v/>
      </c>
    </row>
    <row r="24" customFormat="false" ht="15" hidden="false" customHeight="false" outlineLevel="0" collapsed="false">
      <c r="A24" s="7" t="n">
        <f aca="false">IF($E$2+18&lt;=EOMONTH($E$2,0),$E$2+18,"")</f>
        <v>46314</v>
      </c>
      <c r="B24" s="41" t="n">
        <f aca="false">IF(A24="","",IF(COUNTIFS(H$6:H$36,H24,C$6:C$36,1)=0,"",IF(H24=H23,B23,1+MAX(B$5:B23))))</f>
        <v>4</v>
      </c>
      <c r="C24" s="41" t="n">
        <f aca="false">IF(A24="",0,IF(AND(WEEKDAY(A24,2)&lt;=5,COUNTIF(Folgas!$A$5:$A$300,A24)=0),1,0))</f>
        <v>1</v>
      </c>
      <c r="D24" s="41" t="n">
        <f aca="false">IF(C24=1,COUNTIFS(B$6:B24,B24,C$6:C24,1),0)</f>
        <v>1</v>
      </c>
      <c r="E24" s="41" t="n">
        <f aca="false">IF(OR(A24="",B24=""),0,COUNTIFS(B$6:B$36,B24,C$6:C$36,1))</f>
        <v>5</v>
      </c>
      <c r="F24" s="41" t="n">
        <f aca="false">IF(OR(A24="",B24=""),0,COUNTIFS(B$6:B$36,"&gt;="&amp;B24,C$6:C$36,1))</f>
        <v>10</v>
      </c>
      <c r="G24" s="41" t="n">
        <f aca="false">IF(OR(A24="",B24=""),0,IF(B24=B23,0,1))</f>
        <v>1</v>
      </c>
      <c r="H24" s="41" t="n">
        <f aca="false">IF(A24="","",INT((A24-$E$3)/7)+1)</f>
        <v>4</v>
      </c>
      <c r="J24" s="13" t="n">
        <f aca="false">IF($A24="",0,IF('Meta Diária'!G24&lt;&gt;"",'Meta Diária'!G24,IF(AND($C24=1,$A24&gt;='Base de Dados'!$B$6),O24,0)))</f>
        <v>2142.85714285714</v>
      </c>
      <c r="K24" s="13" t="n">
        <f aca="false">K23+J23</f>
        <v>8571.42857142857</v>
      </c>
      <c r="L24" s="13" t="n">
        <f aca="false">IF($A24="","",IF($G24=1,IF($B$2=0,0,$J$3*$E24/$B$2),L23))</f>
        <v>7142.85714285714</v>
      </c>
      <c r="M24" s="13" t="n">
        <f aca="false">IF($A24="","",IF($G24=1,IF('Base de Dados'!$B$7="Sim",IF($F24=0,0,MAX($J$3-K24,0)*$E24/$F24),MAX(L24,IF($F24=0,0,MAX($J$3-K24,0)*$E24/$F24))),M23))</f>
        <v>10714.2857142857</v>
      </c>
      <c r="N24" s="13" t="n">
        <f aca="false">IF($C24=1,M24/$E24,"")</f>
        <v>2142.85714285714</v>
      </c>
      <c r="O24" s="13" t="n">
        <f aca="false">IF($C24&lt;&gt;1,"",IF('Base de Dados'!$B$7="Sim",MAX(M24-SUMIFS(J$5:J23,$B$5:$B23,$B24),0)/($E24-$D24+1),MAX(N24,MAX(M24-SUMIFS(J$5:J23,$B$5:$B23,$B24),0)/($E24-$D24+1))))</f>
        <v>2142.85714285714</v>
      </c>
      <c r="P24" s="12" t="n">
        <f aca="false">IF($A24="",0,IF('Meta Diária'!I24&lt;&gt;"",'Meta Diária'!I24,IF(AND($C24=1,$A24&gt;='Base de Dados'!$B$6),AH24,0)))</f>
        <v>61</v>
      </c>
      <c r="Q24" s="12" t="n">
        <f aca="false">Q23+P23</f>
        <v>248</v>
      </c>
      <c r="R24" s="41" t="n">
        <f aca="false">IF($G24=1,IF(Q24&lt;S24-0.000000001,1,0),"")</f>
        <v>1</v>
      </c>
      <c r="S24" s="12" t="n">
        <f aca="false">IF($G24=1,SUMIFS(AD$5:AD23,$G$5:$G23,1),"")</f>
        <v>451</v>
      </c>
      <c r="T24" s="12" t="n">
        <f aca="false">IF($G24=1,IF(AND($E24&gt;=1,($F24-0)&gt;0),IF(R24=1,ROUNDUP(ROUND((MAX($P$3-Q24,0)-(0))/($F24-0),6),0),ROUND((MAX($P$3-Q24,0)-(0))/($F24-0),0)),0),"")</f>
        <v>61</v>
      </c>
      <c r="U24" s="12" t="n">
        <f aca="false">IF($G24=1,IF(AND($E24&gt;=2,($F24-1)&gt;0),IF(R24=1,ROUNDUP(ROUND((MAX($P$3-Q24,0)-(T24))/($F24-1),6),0),ROUND((MAX($P$3-Q24,0)-(T24))/($F24-1),0)),0),"")</f>
        <v>61</v>
      </c>
      <c r="V24" s="12" t="n">
        <f aca="false">IF($G24=1,IF(AND($E24&gt;=3,($F24-2)&gt;0),IF(R24=1,ROUNDUP(ROUND((MAX($P$3-Q24,0)-(T24+U24))/($F24-2),6),0),ROUND((MAX($P$3-Q24,0)-(T24+U24))/($F24-2),0)),0),"")</f>
        <v>61</v>
      </c>
      <c r="W24" s="12" t="n">
        <f aca="false">IF($G24=1,IF(AND($E24&gt;=4,($F24-3)&gt;0),IF(R24=1,ROUNDUP(ROUND((MAX($P$3-Q24,0)-(T24+U24+V24))/($F24-3),6),0),ROUND((MAX($P$3-Q24,0)-(T24+U24+V24))/($F24-3),0)),0),"")</f>
        <v>61</v>
      </c>
      <c r="X24" s="12" t="n">
        <f aca="false">IF($G24=1,IF(AND($E24&gt;=5,($F24-4)&gt;0),IF(R24=1,ROUNDUP(ROUND((MAX($P$3-Q24,0)-(T24+U24+V24+W24))/($F24-4),6),0),ROUND((MAX($P$3-Q24,0)-(T24+U24+V24+W24))/($F24-4),0)),0),"")</f>
        <v>61</v>
      </c>
      <c r="Y24" s="12" t="n">
        <f aca="false">IF($G24=1,IF(AND($E24&gt;=1,($F24-0)&gt;0),ROUND((($P$3-S24)-(0))/($F24-0),0),0),"")</f>
        <v>41</v>
      </c>
      <c r="Z24" s="12" t="n">
        <f aca="false">IF($G24=1,IF(AND($E24&gt;=2,($F24-1)&gt;0),ROUND((($P$3-S24)-(Y24))/($F24-1),0),0),"")</f>
        <v>41</v>
      </c>
      <c r="AA24" s="12" t="n">
        <f aca="false">IF($G24=1,IF(AND($E24&gt;=3,($F24-2)&gt;0),ROUND((($P$3-S24)-(Y24+Z24))/($F24-2),0),0),"")</f>
        <v>41</v>
      </c>
      <c r="AB24" s="12" t="n">
        <f aca="false">IF($G24=1,IF(AND($E24&gt;=4,($F24-3)&gt;0),ROUND((($P$3-S24)-(Y24+Z24+AA24))/($F24-3),0),0),"")</f>
        <v>41</v>
      </c>
      <c r="AC24" s="12" t="n">
        <f aca="false">IF($G24=1,IF(AND($E24&gt;=5,($F24-4)&gt;0),ROUND((($P$3-S24)-(Y24+Z24+AA24+AB24))/($F24-4),0),0),"")</f>
        <v>41</v>
      </c>
      <c r="AD24" s="12" t="n">
        <f aca="false">IF($A24="","",IF($G24=1,(Y24+Z24+AA24+AB24+AC24),AD23))</f>
        <v>205</v>
      </c>
      <c r="AE24" s="12" t="n">
        <f aca="false">IF($A24="","",IF($G24=1,IF('Base de Dados'!$B$7="Sim",(T24+U24+V24+W24+X24),MAX(AD24,(T24+U24+V24+W24+X24))),AE23))</f>
        <v>305</v>
      </c>
      <c r="AF24" s="12" t="n">
        <f aca="false">IF($A24="","",IF($G24=1,AD24,AF23-N(AG23)))</f>
        <v>205</v>
      </c>
      <c r="AG24" s="12" t="n">
        <f aca="false">IF($C24=1,ROUND(AF24/($E24-$D24+1),0),"")</f>
        <v>41</v>
      </c>
      <c r="AH24" s="12" t="n">
        <f aca="false">IF($C24&lt;&gt;1,"",IF('Base de Dados'!$B$7="Sim",IF(SUMIFS(P$5:P23,$B$5:$B23,$B24)&lt;SUMIFS(AG$5:AG23,$B$5:$B23,$B24)-0.000000001,ROUNDUP(ROUND(MAX(AE24-SUMIFS(P$5:P23,$B$5:$B23,$B24),0)/($E24-$D24+1),6),0),ROUND(MAX(AE24-SUMIFS(P$5:P23,$B$5:$B23,$B24),0)/($E24-$D24+1),0)),MAX(AG24,IF(SUMIFS(P$5:P23,$B$5:$B23,$B24)&lt;SUMIFS(AG$5:AG23,$B$5:$B23,$B24)-0.000000001,ROUNDUP(ROUND(MAX(AE24-SUMIFS(P$5:P23,$B$5:$B23,$B24),0)/($E24-$D24+1),6),0),ROUND(MAX(AE24-SUMIFS(P$5:P23,$B$5:$B23,$B24),0)/($E24-$D24+1),0)))))</f>
        <v>61</v>
      </c>
      <c r="AI24" s="12" t="n">
        <f aca="false">IF($A24="",0,IF('Meta Diária'!K24&lt;&gt;"",'Meta Diária'!K24,IF(AND($C24=1,$A24&gt;='Base de Dados'!$B$6),BA24,0)))</f>
        <v>12</v>
      </c>
      <c r="AJ24" s="12" t="n">
        <f aca="false">AJ23+AI23</f>
        <v>52</v>
      </c>
      <c r="AK24" s="41" t="n">
        <f aca="false">IF($G24=1,IF(AJ24&lt;AL24-0.000000001,1,0),"")</f>
        <v>1</v>
      </c>
      <c r="AL24" s="12" t="n">
        <f aca="false">IF($G24=1,SUMIFS(AW$5:AW23,$G$5:$G23,1),"")</f>
        <v>88</v>
      </c>
      <c r="AM24" s="12" t="n">
        <f aca="false">IF($G24=1,IF(AND($E24&gt;=1,($F24-0)&gt;0),IF(AK24=1,ROUNDUP(ROUND((MAX($AI$3-AJ24,0)-(0))/($F24-0),6),0),ROUND((MAX($AI$3-AJ24,0)-(0))/($F24-0),0)),0),"")</f>
        <v>12</v>
      </c>
      <c r="AN24" s="12" t="n">
        <f aca="false">IF($G24=1,IF(AND($E24&gt;=2,($F24-1)&gt;0),IF(AK24=1,ROUNDUP(ROUND((MAX($AI$3-AJ24,0)-(AM24))/($F24-1),6),0),ROUND((MAX($AI$3-AJ24,0)-(AM24))/($F24-1),0)),0),"")</f>
        <v>12</v>
      </c>
      <c r="AO24" s="12" t="n">
        <f aca="false">IF($G24=1,IF(AND($E24&gt;=3,($F24-2)&gt;0),IF(AK24=1,ROUNDUP(ROUND((MAX($AI$3-AJ24,0)-(AM24+AN24))/($F24-2),6),0),ROUND((MAX($AI$3-AJ24,0)-(AM24+AN24))/($F24-2),0)),0),"")</f>
        <v>12</v>
      </c>
      <c r="AP24" s="12" t="n">
        <f aca="false">IF($G24=1,IF(AND($E24&gt;=4,($F24-3)&gt;0),IF(AK24=1,ROUNDUP(ROUND((MAX($AI$3-AJ24,0)-(AM24+AN24+AO24))/($F24-3),6),0),ROUND((MAX($AI$3-AJ24,0)-(AM24+AN24+AO24))/($F24-3),0)),0),"")</f>
        <v>12</v>
      </c>
      <c r="AQ24" s="12" t="n">
        <f aca="false">IF($G24=1,IF(AND($E24&gt;=5,($F24-4)&gt;0),IF(AK24=1,ROUNDUP(ROUND((MAX($AI$3-AJ24,0)-(AM24+AN24+AO24+AP24))/($F24-4),6),0),ROUND((MAX($AI$3-AJ24,0)-(AM24+AN24+AO24+AP24))/($F24-4),0)),0),"")</f>
        <v>12</v>
      </c>
      <c r="AR24" s="12" t="n">
        <f aca="false">IF($G24=1,IF(AND($E24&gt;=1,($F24-0)&gt;0),ROUND((($AI$3-AL24)-(0))/($F24-0),0),0),"")</f>
        <v>8</v>
      </c>
      <c r="AS24" s="12" t="n">
        <f aca="false">IF($G24=1,IF(AND($E24&gt;=2,($F24-1)&gt;0),ROUND((($AI$3-AL24)-(AR24))/($F24-1),0),0),"")</f>
        <v>8</v>
      </c>
      <c r="AT24" s="12" t="n">
        <f aca="false">IF($G24=1,IF(AND($E24&gt;=3,($F24-2)&gt;0),ROUND((($AI$3-AL24)-(AR24+AS24))/($F24-2),0),0),"")</f>
        <v>9</v>
      </c>
      <c r="AU24" s="12" t="n">
        <f aca="false">IF($G24=1,IF(AND($E24&gt;=4,($F24-3)&gt;0),ROUND((($AI$3-AL24)-(AR24+AS24+AT24))/($F24-3),0),0),"")</f>
        <v>8</v>
      </c>
      <c r="AV24" s="12" t="n">
        <f aca="false">IF($G24=1,IF(AND($E24&gt;=5,($F24-4)&gt;0),ROUND((($AI$3-AL24)-(AR24+AS24+AT24+AU24))/($F24-4),0),0),"")</f>
        <v>9</v>
      </c>
      <c r="AW24" s="12" t="n">
        <f aca="false">IF($A24="","",IF($G24=1,(AR24+AS24+AT24+AU24+AV24),AW23))</f>
        <v>42</v>
      </c>
      <c r="AX24" s="12" t="n">
        <f aca="false">IF($A24="","",IF($G24=1,IF('Base de Dados'!$B$7="Sim",(AM24+AN24+AO24+AP24+AQ24),MAX(AW24,(AM24+AN24+AO24+AP24+AQ24))),AX23))</f>
        <v>60</v>
      </c>
      <c r="AY24" s="12" t="n">
        <f aca="false">IF($A24="","",IF($G24=1,AW24,AY23-N(AZ23)))</f>
        <v>42</v>
      </c>
      <c r="AZ24" s="12" t="n">
        <f aca="false">IF($C24=1,ROUND(AY24/($E24-$D24+1),0),"")</f>
        <v>8</v>
      </c>
      <c r="BA24" s="12" t="n">
        <f aca="false">IF($C24&lt;&gt;1,"",IF('Base de Dados'!$B$7="Sim",IF(SUMIFS(AI$5:AI23,$B$5:$B23,$B24)&lt;SUMIFS(AZ$5:AZ23,$B$5:$B23,$B24)-0.000000001,ROUNDUP(ROUND(MAX(AX24-SUMIFS(AI$5:AI23,$B$5:$B23,$B24),0)/($E24-$D24+1),6),0),ROUND(MAX(AX24-SUMIFS(AI$5:AI23,$B$5:$B23,$B24),0)/($E24-$D24+1),0)),MAX(AZ24,IF(SUMIFS(AI$5:AI23,$B$5:$B23,$B24)&lt;SUMIFS(AZ$5:AZ23,$B$5:$B23,$B24)-0.000000001,ROUNDUP(ROUND(MAX(AX24-SUMIFS(AI$5:AI23,$B$5:$B23,$B24),0)/($E24-$D24+1),6),0),ROUND(MAX(AX24-SUMIFS(AI$5:AI23,$B$5:$B23,$B24),0)/($E24-$D24+1),0)))))</f>
        <v>12</v>
      </c>
      <c r="BB24" s="12" t="n">
        <f aca="false">IF($A24="",0,IF('Meta Diária'!M24&lt;&gt;"",'Meta Diária'!M24,IF(AND($C24=1,$A24&gt;='Base de Dados'!$B$6),BT24,0)))</f>
        <v>7</v>
      </c>
      <c r="BC24" s="12" t="n">
        <f aca="false">BC23+BB23</f>
        <v>32</v>
      </c>
      <c r="BD24" s="41" t="n">
        <f aca="false">IF($G24=1,IF(BC24&lt;BE24-0.000000001,1,0),"")</f>
        <v>1</v>
      </c>
      <c r="BE24" s="12" t="n">
        <f aca="false">IF($G24=1,SUMIFS(BP$5:BP23,$G$5:$G23,1),"")</f>
        <v>55</v>
      </c>
      <c r="BF24" s="12" t="n">
        <f aca="false">IF($G24=1,IF(AND($E24&gt;=1,($F24-0)&gt;0),IF(BD24=1,ROUNDUP(ROUND((MAX($BB$3-BC24,0)-(0))/($F24-0),6),0),ROUND((MAX($BB$3-BC24,0)-(0))/($F24-0),0)),0),"")</f>
        <v>8</v>
      </c>
      <c r="BG24" s="12" t="n">
        <f aca="false">IF($G24=1,IF(AND($E24&gt;=2,($F24-1)&gt;0),IF(BD24=1,ROUNDUP(ROUND((MAX($BB$3-BC24,0)-(BF24))/($F24-1),6),0),ROUND((MAX($BB$3-BC24,0)-(BF24))/($F24-1),0)),0),"")</f>
        <v>8</v>
      </c>
      <c r="BH24" s="12" t="n">
        <f aca="false">IF($G24=1,IF(AND($E24&gt;=3,($F24-2)&gt;0),IF(BD24=1,ROUNDUP(ROUND((MAX($BB$3-BC24,0)-(BF24+BG24))/($F24-2),6),0),ROUND((MAX($BB$3-BC24,0)-(BF24+BG24))/($F24-2),0)),0),"")</f>
        <v>7</v>
      </c>
      <c r="BI24" s="12" t="n">
        <f aca="false">IF($G24=1,IF(AND($E24&gt;=4,($F24-3)&gt;0),IF(BD24=1,ROUNDUP(ROUND((MAX($BB$3-BC24,0)-(BF24+BG24+BH24))/($F24-3),6),0),ROUND((MAX($BB$3-BC24,0)-(BF24+BG24+BH24))/($F24-3),0)),0),"")</f>
        <v>7</v>
      </c>
      <c r="BJ24" s="12" t="n">
        <f aca="false">IF($G24=1,IF(AND($E24&gt;=5,($F24-4)&gt;0),IF(BD24=1,ROUNDUP(ROUND((MAX($BB$3-BC24,0)-(BF24+BG24+BH24+BI24))/($F24-4),6),0),ROUND((MAX($BB$3-BC24,0)-(BF24+BG24+BH24+BI24))/($F24-4),0)),0),"")</f>
        <v>7</v>
      </c>
      <c r="BK24" s="12" t="n">
        <f aca="false">IF($G24=1,IF(AND($E24&gt;=1,($F24-0)&gt;0),ROUND((($BB$3-BE24)-(0))/($F24-0),0),0),"")</f>
        <v>5</v>
      </c>
      <c r="BL24" s="12" t="n">
        <f aca="false">IF($G24=1,IF(AND($E24&gt;=2,($F24-1)&gt;0),ROUND((($BB$3-BE24)-(BK24))/($F24-1),0),0),"")</f>
        <v>5</v>
      </c>
      <c r="BM24" s="12" t="n">
        <f aca="false">IF($G24=1,IF(AND($E24&gt;=3,($F24-2)&gt;0),ROUND((($BB$3-BE24)-(BK24+BL24))/($F24-2),0),0),"")</f>
        <v>5</v>
      </c>
      <c r="BN24" s="12" t="n">
        <f aca="false">IF($G24=1,IF(AND($E24&gt;=4,($F24-3)&gt;0),ROUND((($BB$3-BE24)-(BK24+BL24+BM24))/($F24-3),0),0),"")</f>
        <v>5</v>
      </c>
      <c r="BO24" s="12" t="n">
        <f aca="false">IF($G24=1,IF(AND($E24&gt;=5,($F24-4)&gt;0),ROUND((($BB$3-BE24)-(BK24+BL24+BM24+BN24))/($F24-4),0),0),"")</f>
        <v>5</v>
      </c>
      <c r="BP24" s="12" t="n">
        <f aca="false">IF($A24="","",IF($G24=1,(BK24+BL24+BM24+BN24+BO24),BP23))</f>
        <v>25</v>
      </c>
      <c r="BQ24" s="12" t="n">
        <f aca="false">IF($A24="","",IF($G24=1,IF('Base de Dados'!$B$7="Sim",(BF24+BG24+BH24+BI24+BJ24),MAX(BP24,(BF24+BG24+BH24+BI24+BJ24))),BQ23))</f>
        <v>37</v>
      </c>
      <c r="BR24" s="12" t="n">
        <f aca="false">IF($A24="","",IF($G24=1,BP24,BR23-N(BS23)))</f>
        <v>25</v>
      </c>
      <c r="BS24" s="12" t="n">
        <f aca="false">IF($C24=1,ROUND(BR24/($E24-$D24+1),0),"")</f>
        <v>5</v>
      </c>
      <c r="BT24" s="12" t="n">
        <f aca="false">IF($C24&lt;&gt;1,"",IF('Base de Dados'!$B$7="Sim",IF(SUMIFS(BB$5:BB23,$B$5:$B23,$B24)&lt;SUMIFS(BS$5:BS23,$B$5:$B23,$B24)-0.000000001,ROUNDUP(ROUND(MAX(BQ24-SUMIFS(BB$5:BB23,$B$5:$B23,$B24),0)/($E24-$D24+1),6),0),ROUND(MAX(BQ24-SUMIFS(BB$5:BB23,$B$5:$B23,$B24),0)/($E24-$D24+1),0)),MAX(BS24,IF(SUMIFS(BB$5:BB23,$B$5:$B23,$B24)&lt;SUMIFS(BS$5:BS23,$B$5:$B23,$B24)-0.000000001,ROUNDUP(ROUND(MAX(BQ24-SUMIFS(BB$5:BB23,$B$5:$B23,$B24),0)/($E24-$D24+1),6),0),ROUND(MAX(BQ24-SUMIFS(BB$5:BB23,$B$5:$B23,$B24),0)/($E24-$D24+1),0)))))</f>
        <v>7</v>
      </c>
      <c r="BU24" s="12" t="n">
        <f aca="false">IF($A24="",0,IF('Meta Diária'!O24&lt;&gt;"",'Meta Diária'!O24,IF(AND($C24=1,$A24&gt;='Base de Dados'!$B$6),CM24,0)))</f>
        <v>2</v>
      </c>
      <c r="BV24" s="12" t="n">
        <f aca="false">BV23+BU23</f>
        <v>12</v>
      </c>
      <c r="BW24" s="41" t="n">
        <f aca="false">IF($G24=1,IF(BV24&lt;BX24-0.000000001,1,0),"")</f>
        <v>1</v>
      </c>
      <c r="BX24" s="12" t="n">
        <f aca="false">IF($G24=1,SUMIFS(CI$5:CI23,$G$5:$G23,1),"")</f>
        <v>17</v>
      </c>
      <c r="BY24" s="12" t="n">
        <f aca="false">IF($G24=1,IF(AND($E24&gt;=1,($F24-0)&gt;0),IF(BW24=1,ROUNDUP(ROUND((MAX($BU$3-BV24,0)-(0))/($F24-0),6),0),ROUND((MAX($BU$3-BV24,0)-(0))/($F24-0),0)),0),"")</f>
        <v>2</v>
      </c>
      <c r="BZ24" s="12" t="n">
        <f aca="false">IF($G24=1,IF(AND($E24&gt;=2,($F24-1)&gt;0),IF(BW24=1,ROUNDUP(ROUND((MAX($BU$3-BV24,0)-(BY24))/($F24-1),6),0),ROUND((MAX($BU$3-BV24,0)-(BY24))/($F24-1),0)),0),"")</f>
        <v>2</v>
      </c>
      <c r="CA24" s="12" t="n">
        <f aca="false">IF($G24=1,IF(AND($E24&gt;=3,($F24-2)&gt;0),IF(BW24=1,ROUNDUP(ROUND((MAX($BU$3-BV24,0)-(BY24+BZ24))/($F24-2),6),0),ROUND((MAX($BU$3-BV24,0)-(BY24+BZ24))/($F24-2),0)),0),"")</f>
        <v>2</v>
      </c>
      <c r="CB24" s="12" t="n">
        <f aca="false">IF($G24=1,IF(AND($E24&gt;=4,($F24-3)&gt;0),IF(BW24=1,ROUNDUP(ROUND((MAX($BU$3-BV24,0)-(BY24+BZ24+CA24))/($F24-3),6),0),ROUND((MAX($BU$3-BV24,0)-(BY24+BZ24+CA24))/($F24-3),0)),0),"")</f>
        <v>2</v>
      </c>
      <c r="CC24" s="12" t="n">
        <f aca="false">IF($G24=1,IF(AND($E24&gt;=5,($F24-4)&gt;0),IF(BW24=1,ROUNDUP(ROUND((MAX($BU$3-BV24,0)-(BY24+BZ24+CA24+CB24))/($F24-4),6),0),ROUND((MAX($BU$3-BV24,0)-(BY24+BZ24+CA24+CB24))/($F24-4),0)),0),"")</f>
        <v>2</v>
      </c>
      <c r="CD24" s="12" t="n">
        <f aca="false">IF($G24=1,IF(AND($E24&gt;=1,($F24-0)&gt;0),ROUND((($BU$3-BX24)-(0))/($F24-0),0),0),"")</f>
        <v>2</v>
      </c>
      <c r="CE24" s="12" t="n">
        <f aca="false">IF($G24=1,IF(AND($E24&gt;=2,($F24-1)&gt;0),ROUND((($BU$3-BX24)-(CD24))/($F24-1),0),0),"")</f>
        <v>1</v>
      </c>
      <c r="CF24" s="12" t="n">
        <f aca="false">IF($G24=1,IF(AND($E24&gt;=3,($F24-2)&gt;0),ROUND((($BU$3-BX24)-(CD24+CE24))/($F24-2),0),0),"")</f>
        <v>2</v>
      </c>
      <c r="CG24" s="12" t="n">
        <f aca="false">IF($G24=1,IF(AND($E24&gt;=4,($F24-3)&gt;0),ROUND((($BU$3-BX24)-(CD24+CE24+CF24))/($F24-3),0),0),"")</f>
        <v>1</v>
      </c>
      <c r="CH24" s="12" t="n">
        <f aca="false">IF($G24=1,IF(AND($E24&gt;=5,($F24-4)&gt;0),ROUND((($BU$3-BX24)-(CD24+CE24+CF24+CG24))/($F24-4),0),0),"")</f>
        <v>2</v>
      </c>
      <c r="CI24" s="12" t="n">
        <f aca="false">IF($A24="","",IF($G24=1,(CD24+CE24+CF24+CG24+CH24),CI23))</f>
        <v>8</v>
      </c>
      <c r="CJ24" s="12" t="n">
        <f aca="false">IF($A24="","",IF($G24=1,IF('Base de Dados'!$B$7="Sim",(BY24+BZ24+CA24+CB24+CC24),MAX(CI24,(BY24+BZ24+CA24+CB24+CC24))),CJ23))</f>
        <v>10</v>
      </c>
      <c r="CK24" s="12" t="n">
        <f aca="false">IF($A24="","",IF($G24=1,CI24,CK23-N(CL23)))</f>
        <v>8</v>
      </c>
      <c r="CL24" s="12" t="n">
        <f aca="false">IF($C24=1,ROUND(CK24/($E24-$D24+1),0),"")</f>
        <v>2</v>
      </c>
      <c r="CM24" s="12" t="n">
        <f aca="false">IF($C24&lt;&gt;1,"",IF('Base de Dados'!$B$7="Sim",IF(SUMIFS(BU$5:BU23,$B$5:$B23,$B24)&lt;SUMIFS(CL$5:CL23,$B$5:$B23,$B24)-0.000000001,ROUNDUP(ROUND(MAX(CJ24-SUMIFS(BU$5:BU23,$B$5:$B23,$B24),0)/($E24-$D24+1),6),0),ROUND(MAX(CJ24-SUMIFS(BU$5:BU23,$B$5:$B23,$B24),0)/($E24-$D24+1),0)),MAX(CL24,IF(SUMIFS(BU$5:BU23,$B$5:$B23,$B24)&lt;SUMIFS(CL$5:CL23,$B$5:$B23,$B24)-0.000000001,ROUNDUP(ROUND(MAX(CJ24-SUMIFS(BU$5:BU23,$B$5:$B23,$B24),0)/($E24-$D24+1),6),0),ROUND(MAX(CJ24-SUMIFS(BU$5:BU23,$B$5:$B23,$B24),0)/($E24-$D24+1),0)))))</f>
        <v>2</v>
      </c>
    </row>
    <row r="25" customFormat="false" ht="15" hidden="false" customHeight="false" outlineLevel="0" collapsed="false">
      <c r="A25" s="7" t="n">
        <f aca="false">IF($E$2+19&lt;=EOMONTH($E$2,0),$E$2+19,"")</f>
        <v>46315</v>
      </c>
      <c r="B25" s="41" t="n">
        <f aca="false">IF(A25="","",IF(COUNTIFS(H$6:H$36,H25,C$6:C$36,1)=0,"",IF(H25=H24,B24,1+MAX(B$5:B24))))</f>
        <v>4</v>
      </c>
      <c r="C25" s="41" t="n">
        <f aca="false">IF(A25="",0,IF(AND(WEEKDAY(A25,2)&lt;=5,COUNTIF(Folgas!$A$5:$A$300,A25)=0),1,0))</f>
        <v>1</v>
      </c>
      <c r="D25" s="41" t="n">
        <f aca="false">IF(C25=1,COUNTIFS(B$6:B25,B25,C$6:C25,1),0)</f>
        <v>2</v>
      </c>
      <c r="E25" s="41" t="n">
        <f aca="false">IF(OR(A25="",B25=""),0,COUNTIFS(B$6:B$36,B25,C$6:C$36,1))</f>
        <v>5</v>
      </c>
      <c r="F25" s="41" t="n">
        <f aca="false">IF(OR(A25="",B25=""),0,COUNTIFS(B$6:B$36,"&gt;="&amp;B25,C$6:C$36,1))</f>
        <v>10</v>
      </c>
      <c r="G25" s="41" t="n">
        <f aca="false">IF(OR(A25="",B25=""),0,IF(B25=B24,0,1))</f>
        <v>0</v>
      </c>
      <c r="H25" s="41" t="n">
        <f aca="false">IF(A25="","",INT((A25-$E$3)/7)+1)</f>
        <v>4</v>
      </c>
      <c r="J25" s="13" t="n">
        <f aca="false">IF($A25="",0,IF('Meta Diária'!G25&lt;&gt;"",'Meta Diária'!G25,IF(AND($C25=1,$A25&gt;='Base de Dados'!$B$6),O25,0)))</f>
        <v>2142.85714285714</v>
      </c>
      <c r="K25" s="13" t="n">
        <f aca="false">K24+J24</f>
        <v>10714.2857142857</v>
      </c>
      <c r="L25" s="13" t="n">
        <f aca="false">IF($A25="","",IF($G25=1,IF($B$2=0,0,$J$3*$E25/$B$2),L24))</f>
        <v>7142.85714285714</v>
      </c>
      <c r="M25" s="13" t="n">
        <f aca="false">IF($A25="","",IF($G25=1,IF('Base de Dados'!$B$7="Sim",IF($F25=0,0,MAX($J$3-K25,0)*$E25/$F25),MAX(L25,IF($F25=0,0,MAX($J$3-K25,0)*$E25/$F25))),M24))</f>
        <v>10714.2857142857</v>
      </c>
      <c r="N25" s="13" t="n">
        <f aca="false">IF($C25=1,M25/$E25,"")</f>
        <v>2142.85714285714</v>
      </c>
      <c r="O25" s="13" t="n">
        <f aca="false">IF($C25&lt;&gt;1,"",IF('Base de Dados'!$B$7="Sim",MAX(M25-SUMIFS(J$5:J24,$B$5:$B24,$B25),0)/($E25-$D25+1),MAX(N25,MAX(M25-SUMIFS(J$5:J24,$B$5:$B24,$B25),0)/($E25-$D25+1))))</f>
        <v>2142.85714285714</v>
      </c>
      <c r="P25" s="12" t="n">
        <f aca="false">IF($A25="",0,IF('Meta Diária'!I25&lt;&gt;"",'Meta Diária'!I25,IF(AND($C25=1,$A25&gt;='Base de Dados'!$B$6),AH25,0)))</f>
        <v>61</v>
      </c>
      <c r="Q25" s="12" t="n">
        <f aca="false">Q24+P24</f>
        <v>309</v>
      </c>
      <c r="R25" s="41" t="str">
        <f aca="false">IF($G25=1,IF(Q25&lt;S25-0.000000001,1,0),"")</f>
        <v/>
      </c>
      <c r="S25" s="12" t="str">
        <f aca="false">IF($G25=1,SUMIFS(AD$5:AD24,$G$5:$G24,1),"")</f>
        <v/>
      </c>
      <c r="T25" s="12" t="str">
        <f aca="false">IF($G25=1,IF(AND($E25&gt;=1,($F25-0)&gt;0),IF(R25=1,ROUNDUP(ROUND((MAX($P$3-Q25,0)-(0))/($F25-0),6),0),ROUND((MAX($P$3-Q25,0)-(0))/($F25-0),0)),0),"")</f>
        <v/>
      </c>
      <c r="U25" s="12" t="str">
        <f aca="false">IF($G25=1,IF(AND($E25&gt;=2,($F25-1)&gt;0),IF(R25=1,ROUNDUP(ROUND((MAX($P$3-Q25,0)-(T25))/($F25-1),6),0),ROUND((MAX($P$3-Q25,0)-(T25))/($F25-1),0)),0),"")</f>
        <v/>
      </c>
      <c r="V25" s="12" t="str">
        <f aca="false">IF($G25=1,IF(AND($E25&gt;=3,($F25-2)&gt;0),IF(R25=1,ROUNDUP(ROUND((MAX($P$3-Q25,0)-(T25+U25))/($F25-2),6),0),ROUND((MAX($P$3-Q25,0)-(T25+U25))/($F25-2),0)),0),"")</f>
        <v/>
      </c>
      <c r="W25" s="12" t="str">
        <f aca="false">IF($G25=1,IF(AND($E25&gt;=4,($F25-3)&gt;0),IF(R25=1,ROUNDUP(ROUND((MAX($P$3-Q25,0)-(T25+U25+V25))/($F25-3),6),0),ROUND((MAX($P$3-Q25,0)-(T25+U25+V25))/($F25-3),0)),0),"")</f>
        <v/>
      </c>
      <c r="X25" s="12" t="str">
        <f aca="false">IF($G25=1,IF(AND($E25&gt;=5,($F25-4)&gt;0),IF(R25=1,ROUNDUP(ROUND((MAX($P$3-Q25,0)-(T25+U25+V25+W25))/($F25-4),6),0),ROUND((MAX($P$3-Q25,0)-(T25+U25+V25+W25))/($F25-4),0)),0),"")</f>
        <v/>
      </c>
      <c r="Y25" s="12" t="str">
        <f aca="false">IF($G25=1,IF(AND($E25&gt;=1,($F25-0)&gt;0),ROUND((($P$3-S25)-(0))/($F25-0),0),0),"")</f>
        <v/>
      </c>
      <c r="Z25" s="12" t="str">
        <f aca="false">IF($G25=1,IF(AND($E25&gt;=2,($F25-1)&gt;0),ROUND((($P$3-S25)-(Y25))/($F25-1),0),0),"")</f>
        <v/>
      </c>
      <c r="AA25" s="12" t="str">
        <f aca="false">IF($G25=1,IF(AND($E25&gt;=3,($F25-2)&gt;0),ROUND((($P$3-S25)-(Y25+Z25))/($F25-2),0),0),"")</f>
        <v/>
      </c>
      <c r="AB25" s="12" t="str">
        <f aca="false">IF($G25=1,IF(AND($E25&gt;=4,($F25-3)&gt;0),ROUND((($P$3-S25)-(Y25+Z25+AA25))/($F25-3),0),0),"")</f>
        <v/>
      </c>
      <c r="AC25" s="12" t="str">
        <f aca="false">IF($G25=1,IF(AND($E25&gt;=5,($F25-4)&gt;0),ROUND((($P$3-S25)-(Y25+Z25+AA25+AB25))/($F25-4),0),0),"")</f>
        <v/>
      </c>
      <c r="AD25" s="12" t="n">
        <f aca="false">IF($A25="","",IF($G25=1,(Y25+Z25+AA25+AB25+AC25),AD24))</f>
        <v>205</v>
      </c>
      <c r="AE25" s="12" t="n">
        <f aca="false">IF($A25="","",IF($G25=1,IF('Base de Dados'!$B$7="Sim",(T25+U25+V25+W25+X25),MAX(AD25,(T25+U25+V25+W25+X25))),AE24))</f>
        <v>305</v>
      </c>
      <c r="AF25" s="12" t="n">
        <f aca="false">IF($A25="","",IF($G25=1,AD25,AF24-N(AG24)))</f>
        <v>164</v>
      </c>
      <c r="AG25" s="12" t="n">
        <f aca="false">IF($C25=1,ROUND(AF25/($E25-$D25+1),0),"")</f>
        <v>41</v>
      </c>
      <c r="AH25" s="12" t="n">
        <f aca="false">IF($C25&lt;&gt;1,"",IF('Base de Dados'!$B$7="Sim",IF(SUMIFS(P$5:P24,$B$5:$B24,$B25)&lt;SUMIFS(AG$5:AG24,$B$5:$B24,$B25)-0.000000001,ROUNDUP(ROUND(MAX(AE25-SUMIFS(P$5:P24,$B$5:$B24,$B25),0)/($E25-$D25+1),6),0),ROUND(MAX(AE25-SUMIFS(P$5:P24,$B$5:$B24,$B25),0)/($E25-$D25+1),0)),MAX(AG25,IF(SUMIFS(P$5:P24,$B$5:$B24,$B25)&lt;SUMIFS(AG$5:AG24,$B$5:$B24,$B25)-0.000000001,ROUNDUP(ROUND(MAX(AE25-SUMIFS(P$5:P24,$B$5:$B24,$B25),0)/($E25-$D25+1),6),0),ROUND(MAX(AE25-SUMIFS(P$5:P24,$B$5:$B24,$B25),0)/($E25-$D25+1),0)))))</f>
        <v>61</v>
      </c>
      <c r="AI25" s="12" t="n">
        <f aca="false">IF($A25="",0,IF('Meta Diária'!K25&lt;&gt;"",'Meta Diária'!K25,IF(AND($C25=1,$A25&gt;='Base de Dados'!$B$6),BA25,0)))</f>
        <v>12</v>
      </c>
      <c r="AJ25" s="12" t="n">
        <f aca="false">AJ24+AI24</f>
        <v>64</v>
      </c>
      <c r="AK25" s="41" t="str">
        <f aca="false">IF($G25=1,IF(AJ25&lt;AL25-0.000000001,1,0),"")</f>
        <v/>
      </c>
      <c r="AL25" s="12" t="str">
        <f aca="false">IF($G25=1,SUMIFS(AW$5:AW24,$G$5:$G24,1),"")</f>
        <v/>
      </c>
      <c r="AM25" s="12" t="str">
        <f aca="false">IF($G25=1,IF(AND($E25&gt;=1,($F25-0)&gt;0),IF(AK25=1,ROUNDUP(ROUND((MAX($AI$3-AJ25,0)-(0))/($F25-0),6),0),ROUND((MAX($AI$3-AJ25,0)-(0))/($F25-0),0)),0),"")</f>
        <v/>
      </c>
      <c r="AN25" s="12" t="str">
        <f aca="false">IF($G25=1,IF(AND($E25&gt;=2,($F25-1)&gt;0),IF(AK25=1,ROUNDUP(ROUND((MAX($AI$3-AJ25,0)-(AM25))/($F25-1),6),0),ROUND((MAX($AI$3-AJ25,0)-(AM25))/($F25-1),0)),0),"")</f>
        <v/>
      </c>
      <c r="AO25" s="12" t="str">
        <f aca="false">IF($G25=1,IF(AND($E25&gt;=3,($F25-2)&gt;0),IF(AK25=1,ROUNDUP(ROUND((MAX($AI$3-AJ25,0)-(AM25+AN25))/($F25-2),6),0),ROUND((MAX($AI$3-AJ25,0)-(AM25+AN25))/($F25-2),0)),0),"")</f>
        <v/>
      </c>
      <c r="AP25" s="12" t="str">
        <f aca="false">IF($G25=1,IF(AND($E25&gt;=4,($F25-3)&gt;0),IF(AK25=1,ROUNDUP(ROUND((MAX($AI$3-AJ25,0)-(AM25+AN25+AO25))/($F25-3),6),0),ROUND((MAX($AI$3-AJ25,0)-(AM25+AN25+AO25))/($F25-3),0)),0),"")</f>
        <v/>
      </c>
      <c r="AQ25" s="12" t="str">
        <f aca="false">IF($G25=1,IF(AND($E25&gt;=5,($F25-4)&gt;0),IF(AK25=1,ROUNDUP(ROUND((MAX($AI$3-AJ25,0)-(AM25+AN25+AO25+AP25))/($F25-4),6),0),ROUND((MAX($AI$3-AJ25,0)-(AM25+AN25+AO25+AP25))/($F25-4),0)),0),"")</f>
        <v/>
      </c>
      <c r="AR25" s="12" t="str">
        <f aca="false">IF($G25=1,IF(AND($E25&gt;=1,($F25-0)&gt;0),ROUND((($AI$3-AL25)-(0))/($F25-0),0),0),"")</f>
        <v/>
      </c>
      <c r="AS25" s="12" t="str">
        <f aca="false">IF($G25=1,IF(AND($E25&gt;=2,($F25-1)&gt;0),ROUND((($AI$3-AL25)-(AR25))/($F25-1),0),0),"")</f>
        <v/>
      </c>
      <c r="AT25" s="12" t="str">
        <f aca="false">IF($G25=1,IF(AND($E25&gt;=3,($F25-2)&gt;0),ROUND((($AI$3-AL25)-(AR25+AS25))/($F25-2),0),0),"")</f>
        <v/>
      </c>
      <c r="AU25" s="12" t="str">
        <f aca="false">IF($G25=1,IF(AND($E25&gt;=4,($F25-3)&gt;0),ROUND((($AI$3-AL25)-(AR25+AS25+AT25))/($F25-3),0),0),"")</f>
        <v/>
      </c>
      <c r="AV25" s="12" t="str">
        <f aca="false">IF($G25=1,IF(AND($E25&gt;=5,($F25-4)&gt;0),ROUND((($AI$3-AL25)-(AR25+AS25+AT25+AU25))/($F25-4),0),0),"")</f>
        <v/>
      </c>
      <c r="AW25" s="12" t="n">
        <f aca="false">IF($A25="","",IF($G25=1,(AR25+AS25+AT25+AU25+AV25),AW24))</f>
        <v>42</v>
      </c>
      <c r="AX25" s="12" t="n">
        <f aca="false">IF($A25="","",IF($G25=1,IF('Base de Dados'!$B$7="Sim",(AM25+AN25+AO25+AP25+AQ25),MAX(AW25,(AM25+AN25+AO25+AP25+AQ25))),AX24))</f>
        <v>60</v>
      </c>
      <c r="AY25" s="12" t="n">
        <f aca="false">IF($A25="","",IF($G25=1,AW25,AY24-N(AZ24)))</f>
        <v>34</v>
      </c>
      <c r="AZ25" s="12" t="n">
        <f aca="false">IF($C25=1,ROUND(AY25/($E25-$D25+1),0),"")</f>
        <v>9</v>
      </c>
      <c r="BA25" s="12" t="n">
        <f aca="false">IF($C25&lt;&gt;1,"",IF('Base de Dados'!$B$7="Sim",IF(SUMIFS(AI$5:AI24,$B$5:$B24,$B25)&lt;SUMIFS(AZ$5:AZ24,$B$5:$B24,$B25)-0.000000001,ROUNDUP(ROUND(MAX(AX25-SUMIFS(AI$5:AI24,$B$5:$B24,$B25),0)/($E25-$D25+1),6),0),ROUND(MAX(AX25-SUMIFS(AI$5:AI24,$B$5:$B24,$B25),0)/($E25-$D25+1),0)),MAX(AZ25,IF(SUMIFS(AI$5:AI24,$B$5:$B24,$B25)&lt;SUMIFS(AZ$5:AZ24,$B$5:$B24,$B25)-0.000000001,ROUNDUP(ROUND(MAX(AX25-SUMIFS(AI$5:AI24,$B$5:$B24,$B25),0)/($E25-$D25+1),6),0),ROUND(MAX(AX25-SUMIFS(AI$5:AI24,$B$5:$B24,$B25),0)/($E25-$D25+1),0)))))</f>
        <v>12</v>
      </c>
      <c r="BB25" s="12" t="n">
        <f aca="false">IF($A25="",0,IF('Meta Diária'!M25&lt;&gt;"",'Meta Diária'!M25,IF(AND($C25=1,$A25&gt;='Base de Dados'!$B$6),BT25,0)))</f>
        <v>8</v>
      </c>
      <c r="BC25" s="12" t="n">
        <f aca="false">BC24+BB24</f>
        <v>39</v>
      </c>
      <c r="BD25" s="41" t="str">
        <f aca="false">IF($G25=1,IF(BC25&lt;BE25-0.000000001,1,0),"")</f>
        <v/>
      </c>
      <c r="BE25" s="12" t="str">
        <f aca="false">IF($G25=1,SUMIFS(BP$5:BP24,$G$5:$G24,1),"")</f>
        <v/>
      </c>
      <c r="BF25" s="12" t="str">
        <f aca="false">IF($G25=1,IF(AND($E25&gt;=1,($F25-0)&gt;0),IF(BD25=1,ROUNDUP(ROUND((MAX($BB$3-BC25,0)-(0))/($F25-0),6),0),ROUND((MAX($BB$3-BC25,0)-(0))/($F25-0),0)),0),"")</f>
        <v/>
      </c>
      <c r="BG25" s="12" t="str">
        <f aca="false">IF($G25=1,IF(AND($E25&gt;=2,($F25-1)&gt;0),IF(BD25=1,ROUNDUP(ROUND((MAX($BB$3-BC25,0)-(BF25))/($F25-1),6),0),ROUND((MAX($BB$3-BC25,0)-(BF25))/($F25-1),0)),0),"")</f>
        <v/>
      </c>
      <c r="BH25" s="12" t="str">
        <f aca="false">IF($G25=1,IF(AND($E25&gt;=3,($F25-2)&gt;0),IF(BD25=1,ROUNDUP(ROUND((MAX($BB$3-BC25,0)-(BF25+BG25))/($F25-2),6),0),ROUND((MAX($BB$3-BC25,0)-(BF25+BG25))/($F25-2),0)),0),"")</f>
        <v/>
      </c>
      <c r="BI25" s="12" t="str">
        <f aca="false">IF($G25=1,IF(AND($E25&gt;=4,($F25-3)&gt;0),IF(BD25=1,ROUNDUP(ROUND((MAX($BB$3-BC25,0)-(BF25+BG25+BH25))/($F25-3),6),0),ROUND((MAX($BB$3-BC25,0)-(BF25+BG25+BH25))/($F25-3),0)),0),"")</f>
        <v/>
      </c>
      <c r="BJ25" s="12" t="str">
        <f aca="false">IF($G25=1,IF(AND($E25&gt;=5,($F25-4)&gt;0),IF(BD25=1,ROUNDUP(ROUND((MAX($BB$3-BC25,0)-(BF25+BG25+BH25+BI25))/($F25-4),6),0),ROUND((MAX($BB$3-BC25,0)-(BF25+BG25+BH25+BI25))/($F25-4),0)),0),"")</f>
        <v/>
      </c>
      <c r="BK25" s="12" t="str">
        <f aca="false">IF($G25=1,IF(AND($E25&gt;=1,($F25-0)&gt;0),ROUND((($BB$3-BE25)-(0))/($F25-0),0),0),"")</f>
        <v/>
      </c>
      <c r="BL25" s="12" t="str">
        <f aca="false">IF($G25=1,IF(AND($E25&gt;=2,($F25-1)&gt;0),ROUND((($BB$3-BE25)-(BK25))/($F25-1),0),0),"")</f>
        <v/>
      </c>
      <c r="BM25" s="12" t="str">
        <f aca="false">IF($G25=1,IF(AND($E25&gt;=3,($F25-2)&gt;0),ROUND((($BB$3-BE25)-(BK25+BL25))/($F25-2),0),0),"")</f>
        <v/>
      </c>
      <c r="BN25" s="12" t="str">
        <f aca="false">IF($G25=1,IF(AND($E25&gt;=4,($F25-3)&gt;0),ROUND((($BB$3-BE25)-(BK25+BL25+BM25))/($F25-3),0),0),"")</f>
        <v/>
      </c>
      <c r="BO25" s="12" t="str">
        <f aca="false">IF($G25=1,IF(AND($E25&gt;=5,($F25-4)&gt;0),ROUND((($BB$3-BE25)-(BK25+BL25+BM25+BN25))/($F25-4),0),0),"")</f>
        <v/>
      </c>
      <c r="BP25" s="12" t="n">
        <f aca="false">IF($A25="","",IF($G25=1,(BK25+BL25+BM25+BN25+BO25),BP24))</f>
        <v>25</v>
      </c>
      <c r="BQ25" s="12" t="n">
        <f aca="false">IF($A25="","",IF($G25=1,IF('Base de Dados'!$B$7="Sim",(BF25+BG25+BH25+BI25+BJ25),MAX(BP25,(BF25+BG25+BH25+BI25+BJ25))),BQ24))</f>
        <v>37</v>
      </c>
      <c r="BR25" s="12" t="n">
        <f aca="false">IF($A25="","",IF($G25=1,BP25,BR24-N(BS24)))</f>
        <v>20</v>
      </c>
      <c r="BS25" s="12" t="n">
        <f aca="false">IF($C25=1,ROUND(BR25/($E25-$D25+1),0),"")</f>
        <v>5</v>
      </c>
      <c r="BT25" s="12" t="n">
        <f aca="false">IF($C25&lt;&gt;1,"",IF('Base de Dados'!$B$7="Sim",IF(SUMIFS(BB$5:BB24,$B$5:$B24,$B25)&lt;SUMIFS(BS$5:BS24,$B$5:$B24,$B25)-0.000000001,ROUNDUP(ROUND(MAX(BQ25-SUMIFS(BB$5:BB24,$B$5:$B24,$B25),0)/($E25-$D25+1),6),0),ROUND(MAX(BQ25-SUMIFS(BB$5:BB24,$B$5:$B24,$B25),0)/($E25-$D25+1),0)),MAX(BS25,IF(SUMIFS(BB$5:BB24,$B$5:$B24,$B25)&lt;SUMIFS(BS$5:BS24,$B$5:$B24,$B25)-0.000000001,ROUNDUP(ROUND(MAX(BQ25-SUMIFS(BB$5:BB24,$B$5:$B24,$B25),0)/($E25-$D25+1),6),0),ROUND(MAX(BQ25-SUMIFS(BB$5:BB24,$B$5:$B24,$B25),0)/($E25-$D25+1),0)))))</f>
        <v>8</v>
      </c>
      <c r="BU25" s="12" t="n">
        <f aca="false">IF($A25="",0,IF('Meta Diária'!O25&lt;&gt;"",'Meta Diária'!O25,IF(AND($C25=1,$A25&gt;='Base de Dados'!$B$6),CM25,0)))</f>
        <v>2</v>
      </c>
      <c r="BV25" s="12" t="n">
        <f aca="false">BV24+BU24</f>
        <v>14</v>
      </c>
      <c r="BW25" s="41" t="str">
        <f aca="false">IF($G25=1,IF(BV25&lt;BX25-0.000000001,1,0),"")</f>
        <v/>
      </c>
      <c r="BX25" s="12" t="str">
        <f aca="false">IF($G25=1,SUMIFS(CI$5:CI24,$G$5:$G24,1),"")</f>
        <v/>
      </c>
      <c r="BY25" s="12" t="str">
        <f aca="false">IF($G25=1,IF(AND($E25&gt;=1,($F25-0)&gt;0),IF(BW25=1,ROUNDUP(ROUND((MAX($BU$3-BV25,0)-(0))/($F25-0),6),0),ROUND((MAX($BU$3-BV25,0)-(0))/($F25-0),0)),0),"")</f>
        <v/>
      </c>
      <c r="BZ25" s="12" t="str">
        <f aca="false">IF($G25=1,IF(AND($E25&gt;=2,($F25-1)&gt;0),IF(BW25=1,ROUNDUP(ROUND((MAX($BU$3-BV25,0)-(BY25))/($F25-1),6),0),ROUND((MAX($BU$3-BV25,0)-(BY25))/($F25-1),0)),0),"")</f>
        <v/>
      </c>
      <c r="CA25" s="12" t="str">
        <f aca="false">IF($G25=1,IF(AND($E25&gt;=3,($F25-2)&gt;0),IF(BW25=1,ROUNDUP(ROUND((MAX($BU$3-BV25,0)-(BY25+BZ25))/($F25-2),6),0),ROUND((MAX($BU$3-BV25,0)-(BY25+BZ25))/($F25-2),0)),0),"")</f>
        <v/>
      </c>
      <c r="CB25" s="12" t="str">
        <f aca="false">IF($G25=1,IF(AND($E25&gt;=4,($F25-3)&gt;0),IF(BW25=1,ROUNDUP(ROUND((MAX($BU$3-BV25,0)-(BY25+BZ25+CA25))/($F25-3),6),0),ROUND((MAX($BU$3-BV25,0)-(BY25+BZ25+CA25))/($F25-3),0)),0),"")</f>
        <v/>
      </c>
      <c r="CC25" s="12" t="str">
        <f aca="false">IF($G25=1,IF(AND($E25&gt;=5,($F25-4)&gt;0),IF(BW25=1,ROUNDUP(ROUND((MAX($BU$3-BV25,0)-(BY25+BZ25+CA25+CB25))/($F25-4),6),0),ROUND((MAX($BU$3-BV25,0)-(BY25+BZ25+CA25+CB25))/($F25-4),0)),0),"")</f>
        <v/>
      </c>
      <c r="CD25" s="12" t="str">
        <f aca="false">IF($G25=1,IF(AND($E25&gt;=1,($F25-0)&gt;0),ROUND((($BU$3-BX25)-(0))/($F25-0),0),0),"")</f>
        <v/>
      </c>
      <c r="CE25" s="12" t="str">
        <f aca="false">IF($G25=1,IF(AND($E25&gt;=2,($F25-1)&gt;0),ROUND((($BU$3-BX25)-(CD25))/($F25-1),0),0),"")</f>
        <v/>
      </c>
      <c r="CF25" s="12" t="str">
        <f aca="false">IF($G25=1,IF(AND($E25&gt;=3,($F25-2)&gt;0),ROUND((($BU$3-BX25)-(CD25+CE25))/($F25-2),0),0),"")</f>
        <v/>
      </c>
      <c r="CG25" s="12" t="str">
        <f aca="false">IF($G25=1,IF(AND($E25&gt;=4,($F25-3)&gt;0),ROUND((($BU$3-BX25)-(CD25+CE25+CF25))/($F25-3),0),0),"")</f>
        <v/>
      </c>
      <c r="CH25" s="12" t="str">
        <f aca="false">IF($G25=1,IF(AND($E25&gt;=5,($F25-4)&gt;0),ROUND((($BU$3-BX25)-(CD25+CE25+CF25+CG25))/($F25-4),0),0),"")</f>
        <v/>
      </c>
      <c r="CI25" s="12" t="n">
        <f aca="false">IF($A25="","",IF($G25=1,(CD25+CE25+CF25+CG25+CH25),CI24))</f>
        <v>8</v>
      </c>
      <c r="CJ25" s="12" t="n">
        <f aca="false">IF($A25="","",IF($G25=1,IF('Base de Dados'!$B$7="Sim",(BY25+BZ25+CA25+CB25+CC25),MAX(CI25,(BY25+BZ25+CA25+CB25+CC25))),CJ24))</f>
        <v>10</v>
      </c>
      <c r="CK25" s="12" t="n">
        <f aca="false">IF($A25="","",IF($G25=1,CI25,CK24-N(CL24)))</f>
        <v>6</v>
      </c>
      <c r="CL25" s="12" t="n">
        <f aca="false">IF($C25=1,ROUND(CK25/($E25-$D25+1),0),"")</f>
        <v>2</v>
      </c>
      <c r="CM25" s="12" t="n">
        <f aca="false">IF($C25&lt;&gt;1,"",IF('Base de Dados'!$B$7="Sim",IF(SUMIFS(BU$5:BU24,$B$5:$B24,$B25)&lt;SUMIFS(CL$5:CL24,$B$5:$B24,$B25)-0.000000001,ROUNDUP(ROUND(MAX(CJ25-SUMIFS(BU$5:BU24,$B$5:$B24,$B25),0)/($E25-$D25+1),6),0),ROUND(MAX(CJ25-SUMIFS(BU$5:BU24,$B$5:$B24,$B25),0)/($E25-$D25+1),0)),MAX(CL25,IF(SUMIFS(BU$5:BU24,$B$5:$B24,$B25)&lt;SUMIFS(CL$5:CL24,$B$5:$B24,$B25)-0.000000001,ROUNDUP(ROUND(MAX(CJ25-SUMIFS(BU$5:BU24,$B$5:$B24,$B25),0)/($E25-$D25+1),6),0),ROUND(MAX(CJ25-SUMIFS(BU$5:BU24,$B$5:$B24,$B25),0)/($E25-$D25+1),0)))))</f>
        <v>2</v>
      </c>
    </row>
    <row r="26" customFormat="false" ht="15" hidden="false" customHeight="false" outlineLevel="0" collapsed="false">
      <c r="A26" s="7" t="n">
        <f aca="false">IF($E$2+20&lt;=EOMONTH($E$2,0),$E$2+20,"")</f>
        <v>46316</v>
      </c>
      <c r="B26" s="41" t="n">
        <f aca="false">IF(A26="","",IF(COUNTIFS(H$6:H$36,H26,C$6:C$36,1)=0,"",IF(H26=H25,B25,1+MAX(B$5:B25))))</f>
        <v>4</v>
      </c>
      <c r="C26" s="41" t="n">
        <f aca="false">IF(A26="",0,IF(AND(WEEKDAY(A26,2)&lt;=5,COUNTIF(Folgas!$A$5:$A$300,A26)=0),1,0))</f>
        <v>1</v>
      </c>
      <c r="D26" s="41" t="n">
        <f aca="false">IF(C26=1,COUNTIFS(B$6:B26,B26,C$6:C26,1),0)</f>
        <v>3</v>
      </c>
      <c r="E26" s="41" t="n">
        <f aca="false">IF(OR(A26="",B26=""),0,COUNTIFS(B$6:B$36,B26,C$6:C$36,1))</f>
        <v>5</v>
      </c>
      <c r="F26" s="41" t="n">
        <f aca="false">IF(OR(A26="",B26=""),0,COUNTIFS(B$6:B$36,"&gt;="&amp;B26,C$6:C$36,1))</f>
        <v>10</v>
      </c>
      <c r="G26" s="41" t="n">
        <f aca="false">IF(OR(A26="",B26=""),0,IF(B26=B25,0,1))</f>
        <v>0</v>
      </c>
      <c r="H26" s="41" t="n">
        <f aca="false">IF(A26="","",INT((A26-$E$3)/7)+1)</f>
        <v>4</v>
      </c>
      <c r="J26" s="13" t="n">
        <f aca="false">IF($A26="",0,IF('Meta Diária'!G26&lt;&gt;"",'Meta Diária'!G26,IF(AND($C26=1,$A26&gt;='Base de Dados'!$B$6),O26,0)))</f>
        <v>2142.85714285714</v>
      </c>
      <c r="K26" s="13" t="n">
        <f aca="false">K25+J25</f>
        <v>12857.1428571429</v>
      </c>
      <c r="L26" s="13" t="n">
        <f aca="false">IF($A26="","",IF($G26=1,IF($B$2=0,0,$J$3*$E26/$B$2),L25))</f>
        <v>7142.85714285714</v>
      </c>
      <c r="M26" s="13" t="n">
        <f aca="false">IF($A26="","",IF($G26=1,IF('Base de Dados'!$B$7="Sim",IF($F26=0,0,MAX($J$3-K26,0)*$E26/$F26),MAX(L26,IF($F26=0,0,MAX($J$3-K26,0)*$E26/$F26))),M25))</f>
        <v>10714.2857142857</v>
      </c>
      <c r="N26" s="13" t="n">
        <f aca="false">IF($C26=1,M26/$E26,"")</f>
        <v>2142.85714285714</v>
      </c>
      <c r="O26" s="13" t="n">
        <f aca="false">IF($C26&lt;&gt;1,"",IF('Base de Dados'!$B$7="Sim",MAX(M26-SUMIFS(J$5:J25,$B$5:$B25,$B26),0)/($E26-$D26+1),MAX(N26,MAX(M26-SUMIFS(J$5:J25,$B$5:$B25,$B26),0)/($E26-$D26+1))))</f>
        <v>2142.85714285714</v>
      </c>
      <c r="P26" s="12" t="n">
        <f aca="false">IF($A26="",0,IF('Meta Diária'!I26&lt;&gt;"",'Meta Diária'!I26,IF(AND($C26=1,$A26&gt;='Base de Dados'!$B$6),AH26,0)))</f>
        <v>61</v>
      </c>
      <c r="Q26" s="12" t="n">
        <f aca="false">Q25+P25</f>
        <v>370</v>
      </c>
      <c r="R26" s="41" t="str">
        <f aca="false">IF($G26=1,IF(Q26&lt;S26-0.000000001,1,0),"")</f>
        <v/>
      </c>
      <c r="S26" s="12" t="str">
        <f aca="false">IF($G26=1,SUMIFS(AD$5:AD25,$G$5:$G25,1),"")</f>
        <v/>
      </c>
      <c r="T26" s="12" t="str">
        <f aca="false">IF($G26=1,IF(AND($E26&gt;=1,($F26-0)&gt;0),IF(R26=1,ROUNDUP(ROUND((MAX($P$3-Q26,0)-(0))/($F26-0),6),0),ROUND((MAX($P$3-Q26,0)-(0))/($F26-0),0)),0),"")</f>
        <v/>
      </c>
      <c r="U26" s="12" t="str">
        <f aca="false">IF($G26=1,IF(AND($E26&gt;=2,($F26-1)&gt;0),IF(R26=1,ROUNDUP(ROUND((MAX($P$3-Q26,0)-(T26))/($F26-1),6),0),ROUND((MAX($P$3-Q26,0)-(T26))/($F26-1),0)),0),"")</f>
        <v/>
      </c>
      <c r="V26" s="12" t="str">
        <f aca="false">IF($G26=1,IF(AND($E26&gt;=3,($F26-2)&gt;0),IF(R26=1,ROUNDUP(ROUND((MAX($P$3-Q26,0)-(T26+U26))/($F26-2),6),0),ROUND((MAX($P$3-Q26,0)-(T26+U26))/($F26-2),0)),0),"")</f>
        <v/>
      </c>
      <c r="W26" s="12" t="str">
        <f aca="false">IF($G26=1,IF(AND($E26&gt;=4,($F26-3)&gt;0),IF(R26=1,ROUNDUP(ROUND((MAX($P$3-Q26,0)-(T26+U26+V26))/($F26-3),6),0),ROUND((MAX($P$3-Q26,0)-(T26+U26+V26))/($F26-3),0)),0),"")</f>
        <v/>
      </c>
      <c r="X26" s="12" t="str">
        <f aca="false">IF($G26=1,IF(AND($E26&gt;=5,($F26-4)&gt;0),IF(R26=1,ROUNDUP(ROUND((MAX($P$3-Q26,0)-(T26+U26+V26+W26))/($F26-4),6),0),ROUND((MAX($P$3-Q26,0)-(T26+U26+V26+W26))/($F26-4),0)),0),"")</f>
        <v/>
      </c>
      <c r="Y26" s="12" t="str">
        <f aca="false">IF($G26=1,IF(AND($E26&gt;=1,($F26-0)&gt;0),ROUND((($P$3-S26)-(0))/($F26-0),0),0),"")</f>
        <v/>
      </c>
      <c r="Z26" s="12" t="str">
        <f aca="false">IF($G26=1,IF(AND($E26&gt;=2,($F26-1)&gt;0),ROUND((($P$3-S26)-(Y26))/($F26-1),0),0),"")</f>
        <v/>
      </c>
      <c r="AA26" s="12" t="str">
        <f aca="false">IF($G26=1,IF(AND($E26&gt;=3,($F26-2)&gt;0),ROUND((($P$3-S26)-(Y26+Z26))/($F26-2),0),0),"")</f>
        <v/>
      </c>
      <c r="AB26" s="12" t="str">
        <f aca="false">IF($G26=1,IF(AND($E26&gt;=4,($F26-3)&gt;0),ROUND((($P$3-S26)-(Y26+Z26+AA26))/($F26-3),0),0),"")</f>
        <v/>
      </c>
      <c r="AC26" s="12" t="str">
        <f aca="false">IF($G26=1,IF(AND($E26&gt;=5,($F26-4)&gt;0),ROUND((($P$3-S26)-(Y26+Z26+AA26+AB26))/($F26-4),0),0),"")</f>
        <v/>
      </c>
      <c r="AD26" s="12" t="n">
        <f aca="false">IF($A26="","",IF($G26=1,(Y26+Z26+AA26+AB26+AC26),AD25))</f>
        <v>205</v>
      </c>
      <c r="AE26" s="12" t="n">
        <f aca="false">IF($A26="","",IF($G26=1,IF('Base de Dados'!$B$7="Sim",(T26+U26+V26+W26+X26),MAX(AD26,(T26+U26+V26+W26+X26))),AE25))</f>
        <v>305</v>
      </c>
      <c r="AF26" s="12" t="n">
        <f aca="false">IF($A26="","",IF($G26=1,AD26,AF25-N(AG25)))</f>
        <v>123</v>
      </c>
      <c r="AG26" s="12" t="n">
        <f aca="false">IF($C26=1,ROUND(AF26/($E26-$D26+1),0),"")</f>
        <v>41</v>
      </c>
      <c r="AH26" s="12" t="n">
        <f aca="false">IF($C26&lt;&gt;1,"",IF('Base de Dados'!$B$7="Sim",IF(SUMIFS(P$5:P25,$B$5:$B25,$B26)&lt;SUMIFS(AG$5:AG25,$B$5:$B25,$B26)-0.000000001,ROUNDUP(ROUND(MAX(AE26-SUMIFS(P$5:P25,$B$5:$B25,$B26),0)/($E26-$D26+1),6),0),ROUND(MAX(AE26-SUMIFS(P$5:P25,$B$5:$B25,$B26),0)/($E26-$D26+1),0)),MAX(AG26,IF(SUMIFS(P$5:P25,$B$5:$B25,$B26)&lt;SUMIFS(AG$5:AG25,$B$5:$B25,$B26)-0.000000001,ROUNDUP(ROUND(MAX(AE26-SUMIFS(P$5:P25,$B$5:$B25,$B26),0)/($E26-$D26+1),6),0),ROUND(MAX(AE26-SUMIFS(P$5:P25,$B$5:$B25,$B26),0)/($E26-$D26+1),0)))))</f>
        <v>61</v>
      </c>
      <c r="AI26" s="12" t="n">
        <f aca="false">IF($A26="",0,IF('Meta Diária'!K26&lt;&gt;"",'Meta Diária'!K26,IF(AND($C26=1,$A26&gt;='Base de Dados'!$B$6),BA26,0)))</f>
        <v>12</v>
      </c>
      <c r="AJ26" s="12" t="n">
        <f aca="false">AJ25+AI25</f>
        <v>76</v>
      </c>
      <c r="AK26" s="41" t="str">
        <f aca="false">IF($G26=1,IF(AJ26&lt;AL26-0.000000001,1,0),"")</f>
        <v/>
      </c>
      <c r="AL26" s="12" t="str">
        <f aca="false">IF($G26=1,SUMIFS(AW$5:AW25,$G$5:$G25,1),"")</f>
        <v/>
      </c>
      <c r="AM26" s="12" t="str">
        <f aca="false">IF($G26=1,IF(AND($E26&gt;=1,($F26-0)&gt;0),IF(AK26=1,ROUNDUP(ROUND((MAX($AI$3-AJ26,0)-(0))/($F26-0),6),0),ROUND((MAX($AI$3-AJ26,0)-(0))/($F26-0),0)),0),"")</f>
        <v/>
      </c>
      <c r="AN26" s="12" t="str">
        <f aca="false">IF($G26=1,IF(AND($E26&gt;=2,($F26-1)&gt;0),IF(AK26=1,ROUNDUP(ROUND((MAX($AI$3-AJ26,0)-(AM26))/($F26-1),6),0),ROUND((MAX($AI$3-AJ26,0)-(AM26))/($F26-1),0)),0),"")</f>
        <v/>
      </c>
      <c r="AO26" s="12" t="str">
        <f aca="false">IF($G26=1,IF(AND($E26&gt;=3,($F26-2)&gt;0),IF(AK26=1,ROUNDUP(ROUND((MAX($AI$3-AJ26,0)-(AM26+AN26))/($F26-2),6),0),ROUND((MAX($AI$3-AJ26,0)-(AM26+AN26))/($F26-2),0)),0),"")</f>
        <v/>
      </c>
      <c r="AP26" s="12" t="str">
        <f aca="false">IF($G26=1,IF(AND($E26&gt;=4,($F26-3)&gt;0),IF(AK26=1,ROUNDUP(ROUND((MAX($AI$3-AJ26,0)-(AM26+AN26+AO26))/($F26-3),6),0),ROUND((MAX($AI$3-AJ26,0)-(AM26+AN26+AO26))/($F26-3),0)),0),"")</f>
        <v/>
      </c>
      <c r="AQ26" s="12" t="str">
        <f aca="false">IF($G26=1,IF(AND($E26&gt;=5,($F26-4)&gt;0),IF(AK26=1,ROUNDUP(ROUND((MAX($AI$3-AJ26,0)-(AM26+AN26+AO26+AP26))/($F26-4),6),0),ROUND((MAX($AI$3-AJ26,0)-(AM26+AN26+AO26+AP26))/($F26-4),0)),0),"")</f>
        <v/>
      </c>
      <c r="AR26" s="12" t="str">
        <f aca="false">IF($G26=1,IF(AND($E26&gt;=1,($F26-0)&gt;0),ROUND((($AI$3-AL26)-(0))/($F26-0),0),0),"")</f>
        <v/>
      </c>
      <c r="AS26" s="12" t="str">
        <f aca="false">IF($G26=1,IF(AND($E26&gt;=2,($F26-1)&gt;0),ROUND((($AI$3-AL26)-(AR26))/($F26-1),0),0),"")</f>
        <v/>
      </c>
      <c r="AT26" s="12" t="str">
        <f aca="false">IF($G26=1,IF(AND($E26&gt;=3,($F26-2)&gt;0),ROUND((($AI$3-AL26)-(AR26+AS26))/($F26-2),0),0),"")</f>
        <v/>
      </c>
      <c r="AU26" s="12" t="str">
        <f aca="false">IF($G26=1,IF(AND($E26&gt;=4,($F26-3)&gt;0),ROUND((($AI$3-AL26)-(AR26+AS26+AT26))/($F26-3),0),0),"")</f>
        <v/>
      </c>
      <c r="AV26" s="12" t="str">
        <f aca="false">IF($G26=1,IF(AND($E26&gt;=5,($F26-4)&gt;0),ROUND((($AI$3-AL26)-(AR26+AS26+AT26+AU26))/($F26-4),0),0),"")</f>
        <v/>
      </c>
      <c r="AW26" s="12" t="n">
        <f aca="false">IF($A26="","",IF($G26=1,(AR26+AS26+AT26+AU26+AV26),AW25))</f>
        <v>42</v>
      </c>
      <c r="AX26" s="12" t="n">
        <f aca="false">IF($A26="","",IF($G26=1,IF('Base de Dados'!$B$7="Sim",(AM26+AN26+AO26+AP26+AQ26),MAX(AW26,(AM26+AN26+AO26+AP26+AQ26))),AX25))</f>
        <v>60</v>
      </c>
      <c r="AY26" s="12" t="n">
        <f aca="false">IF($A26="","",IF($G26=1,AW26,AY25-N(AZ25)))</f>
        <v>25</v>
      </c>
      <c r="AZ26" s="12" t="n">
        <f aca="false">IF($C26=1,ROUND(AY26/($E26-$D26+1),0),"")</f>
        <v>8</v>
      </c>
      <c r="BA26" s="12" t="n">
        <f aca="false">IF($C26&lt;&gt;1,"",IF('Base de Dados'!$B$7="Sim",IF(SUMIFS(AI$5:AI25,$B$5:$B25,$B26)&lt;SUMIFS(AZ$5:AZ25,$B$5:$B25,$B26)-0.000000001,ROUNDUP(ROUND(MAX(AX26-SUMIFS(AI$5:AI25,$B$5:$B25,$B26),0)/($E26-$D26+1),6),0),ROUND(MAX(AX26-SUMIFS(AI$5:AI25,$B$5:$B25,$B26),0)/($E26-$D26+1),0)),MAX(AZ26,IF(SUMIFS(AI$5:AI25,$B$5:$B25,$B26)&lt;SUMIFS(AZ$5:AZ25,$B$5:$B25,$B26)-0.000000001,ROUNDUP(ROUND(MAX(AX26-SUMIFS(AI$5:AI25,$B$5:$B25,$B26),0)/($E26-$D26+1),6),0),ROUND(MAX(AX26-SUMIFS(AI$5:AI25,$B$5:$B25,$B26),0)/($E26-$D26+1),0)))))</f>
        <v>12</v>
      </c>
      <c r="BB26" s="12" t="n">
        <f aca="false">IF($A26="",0,IF('Meta Diária'!M26&lt;&gt;"",'Meta Diária'!M26,IF(AND($C26=1,$A26&gt;='Base de Dados'!$B$6),BT26,0)))</f>
        <v>7</v>
      </c>
      <c r="BC26" s="12" t="n">
        <f aca="false">BC25+BB25</f>
        <v>47</v>
      </c>
      <c r="BD26" s="41" t="str">
        <f aca="false">IF($G26=1,IF(BC26&lt;BE26-0.000000001,1,0),"")</f>
        <v/>
      </c>
      <c r="BE26" s="12" t="str">
        <f aca="false">IF($G26=1,SUMIFS(BP$5:BP25,$G$5:$G25,1),"")</f>
        <v/>
      </c>
      <c r="BF26" s="12" t="str">
        <f aca="false">IF($G26=1,IF(AND($E26&gt;=1,($F26-0)&gt;0),IF(BD26=1,ROUNDUP(ROUND((MAX($BB$3-BC26,0)-(0))/($F26-0),6),0),ROUND((MAX($BB$3-BC26,0)-(0))/($F26-0),0)),0),"")</f>
        <v/>
      </c>
      <c r="BG26" s="12" t="str">
        <f aca="false">IF($G26=1,IF(AND($E26&gt;=2,($F26-1)&gt;0),IF(BD26=1,ROUNDUP(ROUND((MAX($BB$3-BC26,0)-(BF26))/($F26-1),6),0),ROUND((MAX($BB$3-BC26,0)-(BF26))/($F26-1),0)),0),"")</f>
        <v/>
      </c>
      <c r="BH26" s="12" t="str">
        <f aca="false">IF($G26=1,IF(AND($E26&gt;=3,($F26-2)&gt;0),IF(BD26=1,ROUNDUP(ROUND((MAX($BB$3-BC26,0)-(BF26+BG26))/($F26-2),6),0),ROUND((MAX($BB$3-BC26,0)-(BF26+BG26))/($F26-2),0)),0),"")</f>
        <v/>
      </c>
      <c r="BI26" s="12" t="str">
        <f aca="false">IF($G26=1,IF(AND($E26&gt;=4,($F26-3)&gt;0),IF(BD26=1,ROUNDUP(ROUND((MAX($BB$3-BC26,0)-(BF26+BG26+BH26))/($F26-3),6),0),ROUND((MAX($BB$3-BC26,0)-(BF26+BG26+BH26))/($F26-3),0)),0),"")</f>
        <v/>
      </c>
      <c r="BJ26" s="12" t="str">
        <f aca="false">IF($G26=1,IF(AND($E26&gt;=5,($F26-4)&gt;0),IF(BD26=1,ROUNDUP(ROUND((MAX($BB$3-BC26,0)-(BF26+BG26+BH26+BI26))/($F26-4),6),0),ROUND((MAX($BB$3-BC26,0)-(BF26+BG26+BH26+BI26))/($F26-4),0)),0),"")</f>
        <v/>
      </c>
      <c r="BK26" s="12" t="str">
        <f aca="false">IF($G26=1,IF(AND($E26&gt;=1,($F26-0)&gt;0),ROUND((($BB$3-BE26)-(0))/($F26-0),0),0),"")</f>
        <v/>
      </c>
      <c r="BL26" s="12" t="str">
        <f aca="false">IF($G26=1,IF(AND($E26&gt;=2,($F26-1)&gt;0),ROUND((($BB$3-BE26)-(BK26))/($F26-1),0),0),"")</f>
        <v/>
      </c>
      <c r="BM26" s="12" t="str">
        <f aca="false">IF($G26=1,IF(AND($E26&gt;=3,($F26-2)&gt;0),ROUND((($BB$3-BE26)-(BK26+BL26))/($F26-2),0),0),"")</f>
        <v/>
      </c>
      <c r="BN26" s="12" t="str">
        <f aca="false">IF($G26=1,IF(AND($E26&gt;=4,($F26-3)&gt;0),ROUND((($BB$3-BE26)-(BK26+BL26+BM26))/($F26-3),0),0),"")</f>
        <v/>
      </c>
      <c r="BO26" s="12" t="str">
        <f aca="false">IF($G26=1,IF(AND($E26&gt;=5,($F26-4)&gt;0),ROUND((($BB$3-BE26)-(BK26+BL26+BM26+BN26))/($F26-4),0),0),"")</f>
        <v/>
      </c>
      <c r="BP26" s="12" t="n">
        <f aca="false">IF($A26="","",IF($G26=1,(BK26+BL26+BM26+BN26+BO26),BP25))</f>
        <v>25</v>
      </c>
      <c r="BQ26" s="12" t="n">
        <f aca="false">IF($A26="","",IF($G26=1,IF('Base de Dados'!$B$7="Sim",(BF26+BG26+BH26+BI26+BJ26),MAX(BP26,(BF26+BG26+BH26+BI26+BJ26))),BQ25))</f>
        <v>37</v>
      </c>
      <c r="BR26" s="12" t="n">
        <f aca="false">IF($A26="","",IF($G26=1,BP26,BR25-N(BS25)))</f>
        <v>15</v>
      </c>
      <c r="BS26" s="12" t="n">
        <f aca="false">IF($C26=1,ROUND(BR26/($E26-$D26+1),0),"")</f>
        <v>5</v>
      </c>
      <c r="BT26" s="12" t="n">
        <f aca="false">IF($C26&lt;&gt;1,"",IF('Base de Dados'!$B$7="Sim",IF(SUMIFS(BB$5:BB25,$B$5:$B25,$B26)&lt;SUMIFS(BS$5:BS25,$B$5:$B25,$B26)-0.000000001,ROUNDUP(ROUND(MAX(BQ26-SUMIFS(BB$5:BB25,$B$5:$B25,$B26),0)/($E26-$D26+1),6),0),ROUND(MAX(BQ26-SUMIFS(BB$5:BB25,$B$5:$B25,$B26),0)/($E26-$D26+1),0)),MAX(BS26,IF(SUMIFS(BB$5:BB25,$B$5:$B25,$B26)&lt;SUMIFS(BS$5:BS25,$B$5:$B25,$B26)-0.000000001,ROUNDUP(ROUND(MAX(BQ26-SUMIFS(BB$5:BB25,$B$5:$B25,$B26),0)/($E26-$D26+1),6),0),ROUND(MAX(BQ26-SUMIFS(BB$5:BB25,$B$5:$B25,$B26),0)/($E26-$D26+1),0)))))</f>
        <v>7</v>
      </c>
      <c r="BU26" s="12" t="n">
        <f aca="false">IF($A26="",0,IF('Meta Diária'!O26&lt;&gt;"",'Meta Diária'!O26,IF(AND($C26=1,$A26&gt;='Base de Dados'!$B$6),CM26,0)))</f>
        <v>2</v>
      </c>
      <c r="BV26" s="12" t="n">
        <f aca="false">BV25+BU25</f>
        <v>16</v>
      </c>
      <c r="BW26" s="41" t="str">
        <f aca="false">IF($G26=1,IF(BV26&lt;BX26-0.000000001,1,0),"")</f>
        <v/>
      </c>
      <c r="BX26" s="12" t="str">
        <f aca="false">IF($G26=1,SUMIFS(CI$5:CI25,$G$5:$G25,1),"")</f>
        <v/>
      </c>
      <c r="BY26" s="12" t="str">
        <f aca="false">IF($G26=1,IF(AND($E26&gt;=1,($F26-0)&gt;0),IF(BW26=1,ROUNDUP(ROUND((MAX($BU$3-BV26,0)-(0))/($F26-0),6),0),ROUND((MAX($BU$3-BV26,0)-(0))/($F26-0),0)),0),"")</f>
        <v/>
      </c>
      <c r="BZ26" s="12" t="str">
        <f aca="false">IF($G26=1,IF(AND($E26&gt;=2,($F26-1)&gt;0),IF(BW26=1,ROUNDUP(ROUND((MAX($BU$3-BV26,0)-(BY26))/($F26-1),6),0),ROUND((MAX($BU$3-BV26,0)-(BY26))/($F26-1),0)),0),"")</f>
        <v/>
      </c>
      <c r="CA26" s="12" t="str">
        <f aca="false">IF($G26=1,IF(AND($E26&gt;=3,($F26-2)&gt;0),IF(BW26=1,ROUNDUP(ROUND((MAX($BU$3-BV26,0)-(BY26+BZ26))/($F26-2),6),0),ROUND((MAX($BU$3-BV26,0)-(BY26+BZ26))/($F26-2),0)),0),"")</f>
        <v/>
      </c>
      <c r="CB26" s="12" t="str">
        <f aca="false">IF($G26=1,IF(AND($E26&gt;=4,($F26-3)&gt;0),IF(BW26=1,ROUNDUP(ROUND((MAX($BU$3-BV26,0)-(BY26+BZ26+CA26))/($F26-3),6),0),ROUND((MAX($BU$3-BV26,0)-(BY26+BZ26+CA26))/($F26-3),0)),0),"")</f>
        <v/>
      </c>
      <c r="CC26" s="12" t="str">
        <f aca="false">IF($G26=1,IF(AND($E26&gt;=5,($F26-4)&gt;0),IF(BW26=1,ROUNDUP(ROUND((MAX($BU$3-BV26,0)-(BY26+BZ26+CA26+CB26))/($F26-4),6),0),ROUND((MAX($BU$3-BV26,0)-(BY26+BZ26+CA26+CB26))/($F26-4),0)),0),"")</f>
        <v/>
      </c>
      <c r="CD26" s="12" t="str">
        <f aca="false">IF($G26=1,IF(AND($E26&gt;=1,($F26-0)&gt;0),ROUND((($BU$3-BX26)-(0))/($F26-0),0),0),"")</f>
        <v/>
      </c>
      <c r="CE26" s="12" t="str">
        <f aca="false">IF($G26=1,IF(AND($E26&gt;=2,($F26-1)&gt;0),ROUND((($BU$3-BX26)-(CD26))/($F26-1),0),0),"")</f>
        <v/>
      </c>
      <c r="CF26" s="12" t="str">
        <f aca="false">IF($G26=1,IF(AND($E26&gt;=3,($F26-2)&gt;0),ROUND((($BU$3-BX26)-(CD26+CE26))/($F26-2),0),0),"")</f>
        <v/>
      </c>
      <c r="CG26" s="12" t="str">
        <f aca="false">IF($G26=1,IF(AND($E26&gt;=4,($F26-3)&gt;0),ROUND((($BU$3-BX26)-(CD26+CE26+CF26))/($F26-3),0),0),"")</f>
        <v/>
      </c>
      <c r="CH26" s="12" t="str">
        <f aca="false">IF($G26=1,IF(AND($E26&gt;=5,($F26-4)&gt;0),ROUND((($BU$3-BX26)-(CD26+CE26+CF26+CG26))/($F26-4),0),0),"")</f>
        <v/>
      </c>
      <c r="CI26" s="12" t="n">
        <f aca="false">IF($A26="","",IF($G26=1,(CD26+CE26+CF26+CG26+CH26),CI25))</f>
        <v>8</v>
      </c>
      <c r="CJ26" s="12" t="n">
        <f aca="false">IF($A26="","",IF($G26=1,IF('Base de Dados'!$B$7="Sim",(BY26+BZ26+CA26+CB26+CC26),MAX(CI26,(BY26+BZ26+CA26+CB26+CC26))),CJ25))</f>
        <v>10</v>
      </c>
      <c r="CK26" s="12" t="n">
        <f aca="false">IF($A26="","",IF($G26=1,CI26,CK25-N(CL25)))</f>
        <v>4</v>
      </c>
      <c r="CL26" s="12" t="n">
        <f aca="false">IF($C26=1,ROUND(CK26/($E26-$D26+1),0),"")</f>
        <v>1</v>
      </c>
      <c r="CM26" s="12" t="n">
        <f aca="false">IF($C26&lt;&gt;1,"",IF('Base de Dados'!$B$7="Sim",IF(SUMIFS(BU$5:BU25,$B$5:$B25,$B26)&lt;SUMIFS(CL$5:CL25,$B$5:$B25,$B26)-0.000000001,ROUNDUP(ROUND(MAX(CJ26-SUMIFS(BU$5:BU25,$B$5:$B25,$B26),0)/($E26-$D26+1),6),0),ROUND(MAX(CJ26-SUMIFS(BU$5:BU25,$B$5:$B25,$B26),0)/($E26-$D26+1),0)),MAX(CL26,IF(SUMIFS(BU$5:BU25,$B$5:$B25,$B26)&lt;SUMIFS(CL$5:CL25,$B$5:$B25,$B26)-0.000000001,ROUNDUP(ROUND(MAX(CJ26-SUMIFS(BU$5:BU25,$B$5:$B25,$B26),0)/($E26-$D26+1),6),0),ROUND(MAX(CJ26-SUMIFS(BU$5:BU25,$B$5:$B25,$B26),0)/($E26-$D26+1),0)))))</f>
        <v>2</v>
      </c>
    </row>
    <row r="27" customFormat="false" ht="15" hidden="false" customHeight="false" outlineLevel="0" collapsed="false">
      <c r="A27" s="7" t="n">
        <f aca="false">IF($E$2+21&lt;=EOMONTH($E$2,0),$E$2+21,"")</f>
        <v>46317</v>
      </c>
      <c r="B27" s="41" t="n">
        <f aca="false">IF(A27="","",IF(COUNTIFS(H$6:H$36,H27,C$6:C$36,1)=0,"",IF(H27=H26,B26,1+MAX(B$5:B26))))</f>
        <v>4</v>
      </c>
      <c r="C27" s="41" t="n">
        <f aca="false">IF(A27="",0,IF(AND(WEEKDAY(A27,2)&lt;=5,COUNTIF(Folgas!$A$5:$A$300,A27)=0),1,0))</f>
        <v>1</v>
      </c>
      <c r="D27" s="41" t="n">
        <f aca="false">IF(C27=1,COUNTIFS(B$6:B27,B27,C$6:C27,1),0)</f>
        <v>4</v>
      </c>
      <c r="E27" s="41" t="n">
        <f aca="false">IF(OR(A27="",B27=""),0,COUNTIFS(B$6:B$36,B27,C$6:C$36,1))</f>
        <v>5</v>
      </c>
      <c r="F27" s="41" t="n">
        <f aca="false">IF(OR(A27="",B27=""),0,COUNTIFS(B$6:B$36,"&gt;="&amp;B27,C$6:C$36,1))</f>
        <v>10</v>
      </c>
      <c r="G27" s="41" t="n">
        <f aca="false">IF(OR(A27="",B27=""),0,IF(B27=B26,0,1))</f>
        <v>0</v>
      </c>
      <c r="H27" s="41" t="n">
        <f aca="false">IF(A27="","",INT((A27-$E$3)/7)+1)</f>
        <v>4</v>
      </c>
      <c r="J27" s="13" t="n">
        <f aca="false">IF($A27="",0,IF('Meta Diária'!G27&lt;&gt;"",'Meta Diária'!G27,IF(AND($C27=1,$A27&gt;='Base de Dados'!$B$6),O27,0)))</f>
        <v>2142.85714285714</v>
      </c>
      <c r="K27" s="13" t="n">
        <f aca="false">K26+J26</f>
        <v>15000</v>
      </c>
      <c r="L27" s="13" t="n">
        <f aca="false">IF($A27="","",IF($G27=1,IF($B$2=0,0,$J$3*$E27/$B$2),L26))</f>
        <v>7142.85714285714</v>
      </c>
      <c r="M27" s="13" t="n">
        <f aca="false">IF($A27="","",IF($G27=1,IF('Base de Dados'!$B$7="Sim",IF($F27=0,0,MAX($J$3-K27,0)*$E27/$F27),MAX(L27,IF($F27=0,0,MAX($J$3-K27,0)*$E27/$F27))),M26))</f>
        <v>10714.2857142857</v>
      </c>
      <c r="N27" s="13" t="n">
        <f aca="false">IF($C27=1,M27/$E27,"")</f>
        <v>2142.85714285714</v>
      </c>
      <c r="O27" s="13" t="n">
        <f aca="false">IF($C27&lt;&gt;1,"",IF('Base de Dados'!$B$7="Sim",MAX(M27-SUMIFS(J$5:J26,$B$5:$B26,$B27),0)/($E27-$D27+1),MAX(N27,MAX(M27-SUMIFS(J$5:J26,$B$5:$B26,$B27),0)/($E27-$D27+1))))</f>
        <v>2142.85714285714</v>
      </c>
      <c r="P27" s="12" t="n">
        <f aca="false">IF($A27="",0,IF('Meta Diária'!I27&lt;&gt;"",'Meta Diária'!I27,IF(AND($C27=1,$A27&gt;='Base de Dados'!$B$6),AH27,0)))</f>
        <v>61</v>
      </c>
      <c r="Q27" s="12" t="n">
        <f aca="false">Q26+P26</f>
        <v>431</v>
      </c>
      <c r="R27" s="41" t="str">
        <f aca="false">IF($G27=1,IF(Q27&lt;S27-0.000000001,1,0),"")</f>
        <v/>
      </c>
      <c r="S27" s="12" t="str">
        <f aca="false">IF($G27=1,SUMIFS(AD$5:AD26,$G$5:$G26,1),"")</f>
        <v/>
      </c>
      <c r="T27" s="12" t="str">
        <f aca="false">IF($G27=1,IF(AND($E27&gt;=1,($F27-0)&gt;0),IF(R27=1,ROUNDUP(ROUND((MAX($P$3-Q27,0)-(0))/($F27-0),6),0),ROUND((MAX($P$3-Q27,0)-(0))/($F27-0),0)),0),"")</f>
        <v/>
      </c>
      <c r="U27" s="12" t="str">
        <f aca="false">IF($G27=1,IF(AND($E27&gt;=2,($F27-1)&gt;0),IF(R27=1,ROUNDUP(ROUND((MAX($P$3-Q27,0)-(T27))/($F27-1),6),0),ROUND((MAX($P$3-Q27,0)-(T27))/($F27-1),0)),0),"")</f>
        <v/>
      </c>
      <c r="V27" s="12" t="str">
        <f aca="false">IF($G27=1,IF(AND($E27&gt;=3,($F27-2)&gt;0),IF(R27=1,ROUNDUP(ROUND((MAX($P$3-Q27,0)-(T27+U27))/($F27-2),6),0),ROUND((MAX($P$3-Q27,0)-(T27+U27))/($F27-2),0)),0),"")</f>
        <v/>
      </c>
      <c r="W27" s="12" t="str">
        <f aca="false">IF($G27=1,IF(AND($E27&gt;=4,($F27-3)&gt;0),IF(R27=1,ROUNDUP(ROUND((MAX($P$3-Q27,0)-(T27+U27+V27))/($F27-3),6),0),ROUND((MAX($P$3-Q27,0)-(T27+U27+V27))/($F27-3),0)),0),"")</f>
        <v/>
      </c>
      <c r="X27" s="12" t="str">
        <f aca="false">IF($G27=1,IF(AND($E27&gt;=5,($F27-4)&gt;0),IF(R27=1,ROUNDUP(ROUND((MAX($P$3-Q27,0)-(T27+U27+V27+W27))/($F27-4),6),0),ROUND((MAX($P$3-Q27,0)-(T27+U27+V27+W27))/($F27-4),0)),0),"")</f>
        <v/>
      </c>
      <c r="Y27" s="12" t="str">
        <f aca="false">IF($G27=1,IF(AND($E27&gt;=1,($F27-0)&gt;0),ROUND((($P$3-S27)-(0))/($F27-0),0),0),"")</f>
        <v/>
      </c>
      <c r="Z27" s="12" t="str">
        <f aca="false">IF($G27=1,IF(AND($E27&gt;=2,($F27-1)&gt;0),ROUND((($P$3-S27)-(Y27))/($F27-1),0),0),"")</f>
        <v/>
      </c>
      <c r="AA27" s="12" t="str">
        <f aca="false">IF($G27=1,IF(AND($E27&gt;=3,($F27-2)&gt;0),ROUND((($P$3-S27)-(Y27+Z27))/($F27-2),0),0),"")</f>
        <v/>
      </c>
      <c r="AB27" s="12" t="str">
        <f aca="false">IF($G27=1,IF(AND($E27&gt;=4,($F27-3)&gt;0),ROUND((($P$3-S27)-(Y27+Z27+AA27))/($F27-3),0),0),"")</f>
        <v/>
      </c>
      <c r="AC27" s="12" t="str">
        <f aca="false">IF($G27=1,IF(AND($E27&gt;=5,($F27-4)&gt;0),ROUND((($P$3-S27)-(Y27+Z27+AA27+AB27))/($F27-4),0),0),"")</f>
        <v/>
      </c>
      <c r="AD27" s="12" t="n">
        <f aca="false">IF($A27="","",IF($G27=1,(Y27+Z27+AA27+AB27+AC27),AD26))</f>
        <v>205</v>
      </c>
      <c r="AE27" s="12" t="n">
        <f aca="false">IF($A27="","",IF($G27=1,IF('Base de Dados'!$B$7="Sim",(T27+U27+V27+W27+X27),MAX(AD27,(T27+U27+V27+W27+X27))),AE26))</f>
        <v>305</v>
      </c>
      <c r="AF27" s="12" t="n">
        <f aca="false">IF($A27="","",IF($G27=1,AD27,AF26-N(AG26)))</f>
        <v>82</v>
      </c>
      <c r="AG27" s="12" t="n">
        <f aca="false">IF($C27=1,ROUND(AF27/($E27-$D27+1),0),"")</f>
        <v>41</v>
      </c>
      <c r="AH27" s="12" t="n">
        <f aca="false">IF($C27&lt;&gt;1,"",IF('Base de Dados'!$B$7="Sim",IF(SUMIFS(P$5:P26,$B$5:$B26,$B27)&lt;SUMIFS(AG$5:AG26,$B$5:$B26,$B27)-0.000000001,ROUNDUP(ROUND(MAX(AE27-SUMIFS(P$5:P26,$B$5:$B26,$B27),0)/($E27-$D27+1),6),0),ROUND(MAX(AE27-SUMIFS(P$5:P26,$B$5:$B26,$B27),0)/($E27-$D27+1),0)),MAX(AG27,IF(SUMIFS(P$5:P26,$B$5:$B26,$B27)&lt;SUMIFS(AG$5:AG26,$B$5:$B26,$B27)-0.000000001,ROUNDUP(ROUND(MAX(AE27-SUMIFS(P$5:P26,$B$5:$B26,$B27),0)/($E27-$D27+1),6),0),ROUND(MAX(AE27-SUMIFS(P$5:P26,$B$5:$B26,$B27),0)/($E27-$D27+1),0)))))</f>
        <v>61</v>
      </c>
      <c r="AI27" s="12" t="n">
        <f aca="false">IF($A27="",0,IF('Meta Diária'!K27&lt;&gt;"",'Meta Diária'!K27,IF(AND($C27=1,$A27&gt;='Base de Dados'!$B$6),BA27,0)))</f>
        <v>12</v>
      </c>
      <c r="AJ27" s="12" t="n">
        <f aca="false">AJ26+AI26</f>
        <v>88</v>
      </c>
      <c r="AK27" s="41" t="str">
        <f aca="false">IF($G27=1,IF(AJ27&lt;AL27-0.000000001,1,0),"")</f>
        <v/>
      </c>
      <c r="AL27" s="12" t="str">
        <f aca="false">IF($G27=1,SUMIFS(AW$5:AW26,$G$5:$G26,1),"")</f>
        <v/>
      </c>
      <c r="AM27" s="12" t="str">
        <f aca="false">IF($G27=1,IF(AND($E27&gt;=1,($F27-0)&gt;0),IF(AK27=1,ROUNDUP(ROUND((MAX($AI$3-AJ27,0)-(0))/($F27-0),6),0),ROUND((MAX($AI$3-AJ27,0)-(0))/($F27-0),0)),0),"")</f>
        <v/>
      </c>
      <c r="AN27" s="12" t="str">
        <f aca="false">IF($G27=1,IF(AND($E27&gt;=2,($F27-1)&gt;0),IF(AK27=1,ROUNDUP(ROUND((MAX($AI$3-AJ27,0)-(AM27))/($F27-1),6),0),ROUND((MAX($AI$3-AJ27,0)-(AM27))/($F27-1),0)),0),"")</f>
        <v/>
      </c>
      <c r="AO27" s="12" t="str">
        <f aca="false">IF($G27=1,IF(AND($E27&gt;=3,($F27-2)&gt;0),IF(AK27=1,ROUNDUP(ROUND((MAX($AI$3-AJ27,0)-(AM27+AN27))/($F27-2),6),0),ROUND((MAX($AI$3-AJ27,0)-(AM27+AN27))/($F27-2),0)),0),"")</f>
        <v/>
      </c>
      <c r="AP27" s="12" t="str">
        <f aca="false">IF($G27=1,IF(AND($E27&gt;=4,($F27-3)&gt;0),IF(AK27=1,ROUNDUP(ROUND((MAX($AI$3-AJ27,0)-(AM27+AN27+AO27))/($F27-3),6),0),ROUND((MAX($AI$3-AJ27,0)-(AM27+AN27+AO27))/($F27-3),0)),0),"")</f>
        <v/>
      </c>
      <c r="AQ27" s="12" t="str">
        <f aca="false">IF($G27=1,IF(AND($E27&gt;=5,($F27-4)&gt;0),IF(AK27=1,ROUNDUP(ROUND((MAX($AI$3-AJ27,0)-(AM27+AN27+AO27+AP27))/($F27-4),6),0),ROUND((MAX($AI$3-AJ27,0)-(AM27+AN27+AO27+AP27))/($F27-4),0)),0),"")</f>
        <v/>
      </c>
      <c r="AR27" s="12" t="str">
        <f aca="false">IF($G27=1,IF(AND($E27&gt;=1,($F27-0)&gt;0),ROUND((($AI$3-AL27)-(0))/($F27-0),0),0),"")</f>
        <v/>
      </c>
      <c r="AS27" s="12" t="str">
        <f aca="false">IF($G27=1,IF(AND($E27&gt;=2,($F27-1)&gt;0),ROUND((($AI$3-AL27)-(AR27))/($F27-1),0),0),"")</f>
        <v/>
      </c>
      <c r="AT27" s="12" t="str">
        <f aca="false">IF($G27=1,IF(AND($E27&gt;=3,($F27-2)&gt;0),ROUND((($AI$3-AL27)-(AR27+AS27))/($F27-2),0),0),"")</f>
        <v/>
      </c>
      <c r="AU27" s="12" t="str">
        <f aca="false">IF($G27=1,IF(AND($E27&gt;=4,($F27-3)&gt;0),ROUND((($AI$3-AL27)-(AR27+AS27+AT27))/($F27-3),0),0),"")</f>
        <v/>
      </c>
      <c r="AV27" s="12" t="str">
        <f aca="false">IF($G27=1,IF(AND($E27&gt;=5,($F27-4)&gt;0),ROUND((($AI$3-AL27)-(AR27+AS27+AT27+AU27))/($F27-4),0),0),"")</f>
        <v/>
      </c>
      <c r="AW27" s="12" t="n">
        <f aca="false">IF($A27="","",IF($G27=1,(AR27+AS27+AT27+AU27+AV27),AW26))</f>
        <v>42</v>
      </c>
      <c r="AX27" s="12" t="n">
        <f aca="false">IF($A27="","",IF($G27=1,IF('Base de Dados'!$B$7="Sim",(AM27+AN27+AO27+AP27+AQ27),MAX(AW27,(AM27+AN27+AO27+AP27+AQ27))),AX26))</f>
        <v>60</v>
      </c>
      <c r="AY27" s="12" t="n">
        <f aca="false">IF($A27="","",IF($G27=1,AW27,AY26-N(AZ26)))</f>
        <v>17</v>
      </c>
      <c r="AZ27" s="12" t="n">
        <f aca="false">IF($C27=1,ROUND(AY27/($E27-$D27+1),0),"")</f>
        <v>9</v>
      </c>
      <c r="BA27" s="12" t="n">
        <f aca="false">IF($C27&lt;&gt;1,"",IF('Base de Dados'!$B$7="Sim",IF(SUMIFS(AI$5:AI26,$B$5:$B26,$B27)&lt;SUMIFS(AZ$5:AZ26,$B$5:$B26,$B27)-0.000000001,ROUNDUP(ROUND(MAX(AX27-SUMIFS(AI$5:AI26,$B$5:$B26,$B27),0)/($E27-$D27+1),6),0),ROUND(MAX(AX27-SUMIFS(AI$5:AI26,$B$5:$B26,$B27),0)/($E27-$D27+1),0)),MAX(AZ27,IF(SUMIFS(AI$5:AI26,$B$5:$B26,$B27)&lt;SUMIFS(AZ$5:AZ26,$B$5:$B26,$B27)-0.000000001,ROUNDUP(ROUND(MAX(AX27-SUMIFS(AI$5:AI26,$B$5:$B26,$B27),0)/($E27-$D27+1),6),0),ROUND(MAX(AX27-SUMIFS(AI$5:AI26,$B$5:$B26,$B27),0)/($E27-$D27+1),0)))))</f>
        <v>12</v>
      </c>
      <c r="BB27" s="12" t="n">
        <f aca="false">IF($A27="",0,IF('Meta Diária'!M27&lt;&gt;"",'Meta Diária'!M27,IF(AND($C27=1,$A27&gt;='Base de Dados'!$B$6),BT27,0)))</f>
        <v>8</v>
      </c>
      <c r="BC27" s="12" t="n">
        <f aca="false">BC26+BB26</f>
        <v>54</v>
      </c>
      <c r="BD27" s="41" t="str">
        <f aca="false">IF($G27=1,IF(BC27&lt;BE27-0.000000001,1,0),"")</f>
        <v/>
      </c>
      <c r="BE27" s="12" t="str">
        <f aca="false">IF($G27=1,SUMIFS(BP$5:BP26,$G$5:$G26,1),"")</f>
        <v/>
      </c>
      <c r="BF27" s="12" t="str">
        <f aca="false">IF($G27=1,IF(AND($E27&gt;=1,($F27-0)&gt;0),IF(BD27=1,ROUNDUP(ROUND((MAX($BB$3-BC27,0)-(0))/($F27-0),6),0),ROUND((MAX($BB$3-BC27,0)-(0))/($F27-0),0)),0),"")</f>
        <v/>
      </c>
      <c r="BG27" s="12" t="str">
        <f aca="false">IF($G27=1,IF(AND($E27&gt;=2,($F27-1)&gt;0),IF(BD27=1,ROUNDUP(ROUND((MAX($BB$3-BC27,0)-(BF27))/($F27-1),6),0),ROUND((MAX($BB$3-BC27,0)-(BF27))/($F27-1),0)),0),"")</f>
        <v/>
      </c>
      <c r="BH27" s="12" t="str">
        <f aca="false">IF($G27=1,IF(AND($E27&gt;=3,($F27-2)&gt;0),IF(BD27=1,ROUNDUP(ROUND((MAX($BB$3-BC27,0)-(BF27+BG27))/($F27-2),6),0),ROUND((MAX($BB$3-BC27,0)-(BF27+BG27))/($F27-2),0)),0),"")</f>
        <v/>
      </c>
      <c r="BI27" s="12" t="str">
        <f aca="false">IF($G27=1,IF(AND($E27&gt;=4,($F27-3)&gt;0),IF(BD27=1,ROUNDUP(ROUND((MAX($BB$3-BC27,0)-(BF27+BG27+BH27))/($F27-3),6),0),ROUND((MAX($BB$3-BC27,0)-(BF27+BG27+BH27))/($F27-3),0)),0),"")</f>
        <v/>
      </c>
      <c r="BJ27" s="12" t="str">
        <f aca="false">IF($G27=1,IF(AND($E27&gt;=5,($F27-4)&gt;0),IF(BD27=1,ROUNDUP(ROUND((MAX($BB$3-BC27,0)-(BF27+BG27+BH27+BI27))/($F27-4),6),0),ROUND((MAX($BB$3-BC27,0)-(BF27+BG27+BH27+BI27))/($F27-4),0)),0),"")</f>
        <v/>
      </c>
      <c r="BK27" s="12" t="str">
        <f aca="false">IF($G27=1,IF(AND($E27&gt;=1,($F27-0)&gt;0),ROUND((($BB$3-BE27)-(0))/($F27-0),0),0),"")</f>
        <v/>
      </c>
      <c r="BL27" s="12" t="str">
        <f aca="false">IF($G27=1,IF(AND($E27&gt;=2,($F27-1)&gt;0),ROUND((($BB$3-BE27)-(BK27))/($F27-1),0),0),"")</f>
        <v/>
      </c>
      <c r="BM27" s="12" t="str">
        <f aca="false">IF($G27=1,IF(AND($E27&gt;=3,($F27-2)&gt;0),ROUND((($BB$3-BE27)-(BK27+BL27))/($F27-2),0),0),"")</f>
        <v/>
      </c>
      <c r="BN27" s="12" t="str">
        <f aca="false">IF($G27=1,IF(AND($E27&gt;=4,($F27-3)&gt;0),ROUND((($BB$3-BE27)-(BK27+BL27+BM27))/($F27-3),0),0),"")</f>
        <v/>
      </c>
      <c r="BO27" s="12" t="str">
        <f aca="false">IF($G27=1,IF(AND($E27&gt;=5,($F27-4)&gt;0),ROUND((($BB$3-BE27)-(BK27+BL27+BM27+BN27))/($F27-4),0),0),"")</f>
        <v/>
      </c>
      <c r="BP27" s="12" t="n">
        <f aca="false">IF($A27="","",IF($G27=1,(BK27+BL27+BM27+BN27+BO27),BP26))</f>
        <v>25</v>
      </c>
      <c r="BQ27" s="12" t="n">
        <f aca="false">IF($A27="","",IF($G27=1,IF('Base de Dados'!$B$7="Sim",(BF27+BG27+BH27+BI27+BJ27),MAX(BP27,(BF27+BG27+BH27+BI27+BJ27))),BQ26))</f>
        <v>37</v>
      </c>
      <c r="BR27" s="12" t="n">
        <f aca="false">IF($A27="","",IF($G27=1,BP27,BR26-N(BS26)))</f>
        <v>10</v>
      </c>
      <c r="BS27" s="12" t="n">
        <f aca="false">IF($C27=1,ROUND(BR27/($E27-$D27+1),0),"")</f>
        <v>5</v>
      </c>
      <c r="BT27" s="12" t="n">
        <f aca="false">IF($C27&lt;&gt;1,"",IF('Base de Dados'!$B$7="Sim",IF(SUMIFS(BB$5:BB26,$B$5:$B26,$B27)&lt;SUMIFS(BS$5:BS26,$B$5:$B26,$B27)-0.000000001,ROUNDUP(ROUND(MAX(BQ27-SUMIFS(BB$5:BB26,$B$5:$B26,$B27),0)/($E27-$D27+1),6),0),ROUND(MAX(BQ27-SUMIFS(BB$5:BB26,$B$5:$B26,$B27),0)/($E27-$D27+1),0)),MAX(BS27,IF(SUMIFS(BB$5:BB26,$B$5:$B26,$B27)&lt;SUMIFS(BS$5:BS26,$B$5:$B26,$B27)-0.000000001,ROUNDUP(ROUND(MAX(BQ27-SUMIFS(BB$5:BB26,$B$5:$B26,$B27),0)/($E27-$D27+1),6),0),ROUND(MAX(BQ27-SUMIFS(BB$5:BB26,$B$5:$B26,$B27),0)/($E27-$D27+1),0)))))</f>
        <v>8</v>
      </c>
      <c r="BU27" s="12" t="n">
        <f aca="false">IF($A27="",0,IF('Meta Diária'!O27&lt;&gt;"",'Meta Diária'!O27,IF(AND($C27=1,$A27&gt;='Base de Dados'!$B$6),CM27,0)))</f>
        <v>2</v>
      </c>
      <c r="BV27" s="12" t="n">
        <f aca="false">BV26+BU26</f>
        <v>18</v>
      </c>
      <c r="BW27" s="41" t="str">
        <f aca="false">IF($G27=1,IF(BV27&lt;BX27-0.000000001,1,0),"")</f>
        <v/>
      </c>
      <c r="BX27" s="12" t="str">
        <f aca="false">IF($G27=1,SUMIFS(CI$5:CI26,$G$5:$G26,1),"")</f>
        <v/>
      </c>
      <c r="BY27" s="12" t="str">
        <f aca="false">IF($G27=1,IF(AND($E27&gt;=1,($F27-0)&gt;0),IF(BW27=1,ROUNDUP(ROUND((MAX($BU$3-BV27,0)-(0))/($F27-0),6),0),ROUND((MAX($BU$3-BV27,0)-(0))/($F27-0),0)),0),"")</f>
        <v/>
      </c>
      <c r="BZ27" s="12" t="str">
        <f aca="false">IF($G27=1,IF(AND($E27&gt;=2,($F27-1)&gt;0),IF(BW27=1,ROUNDUP(ROUND((MAX($BU$3-BV27,0)-(BY27))/($F27-1),6),0),ROUND((MAX($BU$3-BV27,0)-(BY27))/($F27-1),0)),0),"")</f>
        <v/>
      </c>
      <c r="CA27" s="12" t="str">
        <f aca="false">IF($G27=1,IF(AND($E27&gt;=3,($F27-2)&gt;0),IF(BW27=1,ROUNDUP(ROUND((MAX($BU$3-BV27,0)-(BY27+BZ27))/($F27-2),6),0),ROUND((MAX($BU$3-BV27,0)-(BY27+BZ27))/($F27-2),0)),0),"")</f>
        <v/>
      </c>
      <c r="CB27" s="12" t="str">
        <f aca="false">IF($G27=1,IF(AND($E27&gt;=4,($F27-3)&gt;0),IF(BW27=1,ROUNDUP(ROUND((MAX($BU$3-BV27,0)-(BY27+BZ27+CA27))/($F27-3),6),0),ROUND((MAX($BU$3-BV27,0)-(BY27+BZ27+CA27))/($F27-3),0)),0),"")</f>
        <v/>
      </c>
      <c r="CC27" s="12" t="str">
        <f aca="false">IF($G27=1,IF(AND($E27&gt;=5,($F27-4)&gt;0),IF(BW27=1,ROUNDUP(ROUND((MAX($BU$3-BV27,0)-(BY27+BZ27+CA27+CB27))/($F27-4),6),0),ROUND((MAX($BU$3-BV27,0)-(BY27+BZ27+CA27+CB27))/($F27-4),0)),0),"")</f>
        <v/>
      </c>
      <c r="CD27" s="12" t="str">
        <f aca="false">IF($G27=1,IF(AND($E27&gt;=1,($F27-0)&gt;0),ROUND((($BU$3-BX27)-(0))/($F27-0),0),0),"")</f>
        <v/>
      </c>
      <c r="CE27" s="12" t="str">
        <f aca="false">IF($G27=1,IF(AND($E27&gt;=2,($F27-1)&gt;0),ROUND((($BU$3-BX27)-(CD27))/($F27-1),0),0),"")</f>
        <v/>
      </c>
      <c r="CF27" s="12" t="str">
        <f aca="false">IF($G27=1,IF(AND($E27&gt;=3,($F27-2)&gt;0),ROUND((($BU$3-BX27)-(CD27+CE27))/($F27-2),0),0),"")</f>
        <v/>
      </c>
      <c r="CG27" s="12" t="str">
        <f aca="false">IF($G27=1,IF(AND($E27&gt;=4,($F27-3)&gt;0),ROUND((($BU$3-BX27)-(CD27+CE27+CF27))/($F27-3),0),0),"")</f>
        <v/>
      </c>
      <c r="CH27" s="12" t="str">
        <f aca="false">IF($G27=1,IF(AND($E27&gt;=5,($F27-4)&gt;0),ROUND((($BU$3-BX27)-(CD27+CE27+CF27+CG27))/($F27-4),0),0),"")</f>
        <v/>
      </c>
      <c r="CI27" s="12" t="n">
        <f aca="false">IF($A27="","",IF($G27=1,(CD27+CE27+CF27+CG27+CH27),CI26))</f>
        <v>8</v>
      </c>
      <c r="CJ27" s="12" t="n">
        <f aca="false">IF($A27="","",IF($G27=1,IF('Base de Dados'!$B$7="Sim",(BY27+BZ27+CA27+CB27+CC27),MAX(CI27,(BY27+BZ27+CA27+CB27+CC27))),CJ26))</f>
        <v>10</v>
      </c>
      <c r="CK27" s="12" t="n">
        <f aca="false">IF($A27="","",IF($G27=1,CI27,CK26-N(CL26)))</f>
        <v>3</v>
      </c>
      <c r="CL27" s="12" t="n">
        <f aca="false">IF($C27=1,ROUND(CK27/($E27-$D27+1),0),"")</f>
        <v>2</v>
      </c>
      <c r="CM27" s="12" t="n">
        <f aca="false">IF($C27&lt;&gt;1,"",IF('Base de Dados'!$B$7="Sim",IF(SUMIFS(BU$5:BU26,$B$5:$B26,$B27)&lt;SUMIFS(CL$5:CL26,$B$5:$B26,$B27)-0.000000001,ROUNDUP(ROUND(MAX(CJ27-SUMIFS(BU$5:BU26,$B$5:$B26,$B27),0)/($E27-$D27+1),6),0),ROUND(MAX(CJ27-SUMIFS(BU$5:BU26,$B$5:$B26,$B27),0)/($E27-$D27+1),0)),MAX(CL27,IF(SUMIFS(BU$5:BU26,$B$5:$B26,$B27)&lt;SUMIFS(CL$5:CL26,$B$5:$B26,$B27)-0.000000001,ROUNDUP(ROUND(MAX(CJ27-SUMIFS(BU$5:BU26,$B$5:$B26,$B27),0)/($E27-$D27+1),6),0),ROUND(MAX(CJ27-SUMIFS(BU$5:BU26,$B$5:$B26,$B27),0)/($E27-$D27+1),0)))))</f>
        <v>2</v>
      </c>
    </row>
    <row r="28" customFormat="false" ht="15" hidden="false" customHeight="false" outlineLevel="0" collapsed="false">
      <c r="A28" s="7" t="n">
        <f aca="false">IF($E$2+22&lt;=EOMONTH($E$2,0),$E$2+22,"")</f>
        <v>46318</v>
      </c>
      <c r="B28" s="41" t="n">
        <f aca="false">IF(A28="","",IF(COUNTIFS(H$6:H$36,H28,C$6:C$36,1)=0,"",IF(H28=H27,B27,1+MAX(B$5:B27))))</f>
        <v>4</v>
      </c>
      <c r="C28" s="41" t="n">
        <f aca="false">IF(A28="",0,IF(AND(WEEKDAY(A28,2)&lt;=5,COUNTIF(Folgas!$A$5:$A$300,A28)=0),1,0))</f>
        <v>1</v>
      </c>
      <c r="D28" s="41" t="n">
        <f aca="false">IF(C28=1,COUNTIFS(B$6:B28,B28,C$6:C28,1),0)</f>
        <v>5</v>
      </c>
      <c r="E28" s="41" t="n">
        <f aca="false">IF(OR(A28="",B28=""),0,COUNTIFS(B$6:B$36,B28,C$6:C$36,1))</f>
        <v>5</v>
      </c>
      <c r="F28" s="41" t="n">
        <f aca="false">IF(OR(A28="",B28=""),0,COUNTIFS(B$6:B$36,"&gt;="&amp;B28,C$6:C$36,1))</f>
        <v>10</v>
      </c>
      <c r="G28" s="41" t="n">
        <f aca="false">IF(OR(A28="",B28=""),0,IF(B28=B27,0,1))</f>
        <v>0</v>
      </c>
      <c r="H28" s="41" t="n">
        <f aca="false">IF(A28="","",INT((A28-$E$3)/7)+1)</f>
        <v>4</v>
      </c>
      <c r="J28" s="13" t="n">
        <f aca="false">IF($A28="",0,IF('Meta Diária'!G28&lt;&gt;"",'Meta Diária'!G28,IF(AND($C28=1,$A28&gt;='Base de Dados'!$B$6),O28,0)))</f>
        <v>2142.85714285714</v>
      </c>
      <c r="K28" s="13" t="n">
        <f aca="false">K27+J27</f>
        <v>17142.8571428571</v>
      </c>
      <c r="L28" s="13" t="n">
        <f aca="false">IF($A28="","",IF($G28=1,IF($B$2=0,0,$J$3*$E28/$B$2),L27))</f>
        <v>7142.85714285714</v>
      </c>
      <c r="M28" s="13" t="n">
        <f aca="false">IF($A28="","",IF($G28=1,IF('Base de Dados'!$B$7="Sim",IF($F28=0,0,MAX($J$3-K28,0)*$E28/$F28),MAX(L28,IF($F28=0,0,MAX($J$3-K28,0)*$E28/$F28))),M27))</f>
        <v>10714.2857142857</v>
      </c>
      <c r="N28" s="13" t="n">
        <f aca="false">IF($C28=1,M28/$E28,"")</f>
        <v>2142.85714285714</v>
      </c>
      <c r="O28" s="13" t="n">
        <f aca="false">IF($C28&lt;&gt;1,"",IF('Base de Dados'!$B$7="Sim",MAX(M28-SUMIFS(J$5:J27,$B$5:$B27,$B28),0)/($E28-$D28+1),MAX(N28,MAX(M28-SUMIFS(J$5:J27,$B$5:$B27,$B28),0)/($E28-$D28+1))))</f>
        <v>2142.85714285714</v>
      </c>
      <c r="P28" s="12" t="n">
        <f aca="false">IF($A28="",0,IF('Meta Diária'!I28&lt;&gt;"",'Meta Diária'!I28,IF(AND($C28=1,$A28&gt;='Base de Dados'!$B$6),AH28,0)))</f>
        <v>61</v>
      </c>
      <c r="Q28" s="12" t="n">
        <f aca="false">Q27+P27</f>
        <v>492</v>
      </c>
      <c r="R28" s="41" t="str">
        <f aca="false">IF($G28=1,IF(Q28&lt;S28-0.000000001,1,0),"")</f>
        <v/>
      </c>
      <c r="S28" s="12" t="str">
        <f aca="false">IF($G28=1,SUMIFS(AD$5:AD27,$G$5:$G27,1),"")</f>
        <v/>
      </c>
      <c r="T28" s="12" t="str">
        <f aca="false">IF($G28=1,IF(AND($E28&gt;=1,($F28-0)&gt;0),IF(R28=1,ROUNDUP(ROUND((MAX($P$3-Q28,0)-(0))/($F28-0),6),0),ROUND((MAX($P$3-Q28,0)-(0))/($F28-0),0)),0),"")</f>
        <v/>
      </c>
      <c r="U28" s="12" t="str">
        <f aca="false">IF($G28=1,IF(AND($E28&gt;=2,($F28-1)&gt;0),IF(R28=1,ROUNDUP(ROUND((MAX($P$3-Q28,0)-(T28))/($F28-1),6),0),ROUND((MAX($P$3-Q28,0)-(T28))/($F28-1),0)),0),"")</f>
        <v/>
      </c>
      <c r="V28" s="12" t="str">
        <f aca="false">IF($G28=1,IF(AND($E28&gt;=3,($F28-2)&gt;0),IF(R28=1,ROUNDUP(ROUND((MAX($P$3-Q28,0)-(T28+U28))/($F28-2),6),0),ROUND((MAX($P$3-Q28,0)-(T28+U28))/($F28-2),0)),0),"")</f>
        <v/>
      </c>
      <c r="W28" s="12" t="str">
        <f aca="false">IF($G28=1,IF(AND($E28&gt;=4,($F28-3)&gt;0),IF(R28=1,ROUNDUP(ROUND((MAX($P$3-Q28,0)-(T28+U28+V28))/($F28-3),6),0),ROUND((MAX($P$3-Q28,0)-(T28+U28+V28))/($F28-3),0)),0),"")</f>
        <v/>
      </c>
      <c r="X28" s="12" t="str">
        <f aca="false">IF($G28=1,IF(AND($E28&gt;=5,($F28-4)&gt;0),IF(R28=1,ROUNDUP(ROUND((MAX($P$3-Q28,0)-(T28+U28+V28+W28))/($F28-4),6),0),ROUND((MAX($P$3-Q28,0)-(T28+U28+V28+W28))/($F28-4),0)),0),"")</f>
        <v/>
      </c>
      <c r="Y28" s="12" t="str">
        <f aca="false">IF($G28=1,IF(AND($E28&gt;=1,($F28-0)&gt;0),ROUND((($P$3-S28)-(0))/($F28-0),0),0),"")</f>
        <v/>
      </c>
      <c r="Z28" s="12" t="str">
        <f aca="false">IF($G28=1,IF(AND($E28&gt;=2,($F28-1)&gt;0),ROUND((($P$3-S28)-(Y28))/($F28-1),0),0),"")</f>
        <v/>
      </c>
      <c r="AA28" s="12" t="str">
        <f aca="false">IF($G28=1,IF(AND($E28&gt;=3,($F28-2)&gt;0),ROUND((($P$3-S28)-(Y28+Z28))/($F28-2),0),0),"")</f>
        <v/>
      </c>
      <c r="AB28" s="12" t="str">
        <f aca="false">IF($G28=1,IF(AND($E28&gt;=4,($F28-3)&gt;0),ROUND((($P$3-S28)-(Y28+Z28+AA28))/($F28-3),0),0),"")</f>
        <v/>
      </c>
      <c r="AC28" s="12" t="str">
        <f aca="false">IF($G28=1,IF(AND($E28&gt;=5,($F28-4)&gt;0),ROUND((($P$3-S28)-(Y28+Z28+AA28+AB28))/($F28-4),0),0),"")</f>
        <v/>
      </c>
      <c r="AD28" s="12" t="n">
        <f aca="false">IF($A28="","",IF($G28=1,(Y28+Z28+AA28+AB28+AC28),AD27))</f>
        <v>205</v>
      </c>
      <c r="AE28" s="12" t="n">
        <f aca="false">IF($A28="","",IF($G28=1,IF('Base de Dados'!$B$7="Sim",(T28+U28+V28+W28+X28),MAX(AD28,(T28+U28+V28+W28+X28))),AE27))</f>
        <v>305</v>
      </c>
      <c r="AF28" s="12" t="n">
        <f aca="false">IF($A28="","",IF($G28=1,AD28,AF27-N(AG27)))</f>
        <v>41</v>
      </c>
      <c r="AG28" s="12" t="n">
        <f aca="false">IF($C28=1,ROUND(AF28/($E28-$D28+1),0),"")</f>
        <v>41</v>
      </c>
      <c r="AH28" s="12" t="n">
        <f aca="false">IF($C28&lt;&gt;1,"",IF('Base de Dados'!$B$7="Sim",IF(SUMIFS(P$5:P27,$B$5:$B27,$B28)&lt;SUMIFS(AG$5:AG27,$B$5:$B27,$B28)-0.000000001,ROUNDUP(ROUND(MAX(AE28-SUMIFS(P$5:P27,$B$5:$B27,$B28),0)/($E28-$D28+1),6),0),ROUND(MAX(AE28-SUMIFS(P$5:P27,$B$5:$B27,$B28),0)/($E28-$D28+1),0)),MAX(AG28,IF(SUMIFS(P$5:P27,$B$5:$B27,$B28)&lt;SUMIFS(AG$5:AG27,$B$5:$B27,$B28)-0.000000001,ROUNDUP(ROUND(MAX(AE28-SUMIFS(P$5:P27,$B$5:$B27,$B28),0)/($E28-$D28+1),6),0),ROUND(MAX(AE28-SUMIFS(P$5:P27,$B$5:$B27,$B28),0)/($E28-$D28+1),0)))))</f>
        <v>61</v>
      </c>
      <c r="AI28" s="12" t="n">
        <f aca="false">IF($A28="",0,IF('Meta Diária'!K28&lt;&gt;"",'Meta Diária'!K28,IF(AND($C28=1,$A28&gt;='Base de Dados'!$B$6),BA28,0)))</f>
        <v>12</v>
      </c>
      <c r="AJ28" s="12" t="n">
        <f aca="false">AJ27+AI27</f>
        <v>100</v>
      </c>
      <c r="AK28" s="41" t="str">
        <f aca="false">IF($G28=1,IF(AJ28&lt;AL28-0.000000001,1,0),"")</f>
        <v/>
      </c>
      <c r="AL28" s="12" t="str">
        <f aca="false">IF($G28=1,SUMIFS(AW$5:AW27,$G$5:$G27,1),"")</f>
        <v/>
      </c>
      <c r="AM28" s="12" t="str">
        <f aca="false">IF($G28=1,IF(AND($E28&gt;=1,($F28-0)&gt;0),IF(AK28=1,ROUNDUP(ROUND((MAX($AI$3-AJ28,0)-(0))/($F28-0),6),0),ROUND((MAX($AI$3-AJ28,0)-(0))/($F28-0),0)),0),"")</f>
        <v/>
      </c>
      <c r="AN28" s="12" t="str">
        <f aca="false">IF($G28=1,IF(AND($E28&gt;=2,($F28-1)&gt;0),IF(AK28=1,ROUNDUP(ROUND((MAX($AI$3-AJ28,0)-(AM28))/($F28-1),6),0),ROUND((MAX($AI$3-AJ28,0)-(AM28))/($F28-1),0)),0),"")</f>
        <v/>
      </c>
      <c r="AO28" s="12" t="str">
        <f aca="false">IF($G28=1,IF(AND($E28&gt;=3,($F28-2)&gt;0),IF(AK28=1,ROUNDUP(ROUND((MAX($AI$3-AJ28,0)-(AM28+AN28))/($F28-2),6),0),ROUND((MAX($AI$3-AJ28,0)-(AM28+AN28))/($F28-2),0)),0),"")</f>
        <v/>
      </c>
      <c r="AP28" s="12" t="str">
        <f aca="false">IF($G28=1,IF(AND($E28&gt;=4,($F28-3)&gt;0),IF(AK28=1,ROUNDUP(ROUND((MAX($AI$3-AJ28,0)-(AM28+AN28+AO28))/($F28-3),6),0),ROUND((MAX($AI$3-AJ28,0)-(AM28+AN28+AO28))/($F28-3),0)),0),"")</f>
        <v/>
      </c>
      <c r="AQ28" s="12" t="str">
        <f aca="false">IF($G28=1,IF(AND($E28&gt;=5,($F28-4)&gt;0),IF(AK28=1,ROUNDUP(ROUND((MAX($AI$3-AJ28,0)-(AM28+AN28+AO28+AP28))/($F28-4),6),0),ROUND((MAX($AI$3-AJ28,0)-(AM28+AN28+AO28+AP28))/($F28-4),0)),0),"")</f>
        <v/>
      </c>
      <c r="AR28" s="12" t="str">
        <f aca="false">IF($G28=1,IF(AND($E28&gt;=1,($F28-0)&gt;0),ROUND((($AI$3-AL28)-(0))/($F28-0),0),0),"")</f>
        <v/>
      </c>
      <c r="AS28" s="12" t="str">
        <f aca="false">IF($G28=1,IF(AND($E28&gt;=2,($F28-1)&gt;0),ROUND((($AI$3-AL28)-(AR28))/($F28-1),0),0),"")</f>
        <v/>
      </c>
      <c r="AT28" s="12" t="str">
        <f aca="false">IF($G28=1,IF(AND($E28&gt;=3,($F28-2)&gt;0),ROUND((($AI$3-AL28)-(AR28+AS28))/($F28-2),0),0),"")</f>
        <v/>
      </c>
      <c r="AU28" s="12" t="str">
        <f aca="false">IF($G28=1,IF(AND($E28&gt;=4,($F28-3)&gt;0),ROUND((($AI$3-AL28)-(AR28+AS28+AT28))/($F28-3),0),0),"")</f>
        <v/>
      </c>
      <c r="AV28" s="12" t="str">
        <f aca="false">IF($G28=1,IF(AND($E28&gt;=5,($F28-4)&gt;0),ROUND((($AI$3-AL28)-(AR28+AS28+AT28+AU28))/($F28-4),0),0),"")</f>
        <v/>
      </c>
      <c r="AW28" s="12" t="n">
        <f aca="false">IF($A28="","",IF($G28=1,(AR28+AS28+AT28+AU28+AV28),AW27))</f>
        <v>42</v>
      </c>
      <c r="AX28" s="12" t="n">
        <f aca="false">IF($A28="","",IF($G28=1,IF('Base de Dados'!$B$7="Sim",(AM28+AN28+AO28+AP28+AQ28),MAX(AW28,(AM28+AN28+AO28+AP28+AQ28))),AX27))</f>
        <v>60</v>
      </c>
      <c r="AY28" s="12" t="n">
        <f aca="false">IF($A28="","",IF($G28=1,AW28,AY27-N(AZ27)))</f>
        <v>8</v>
      </c>
      <c r="AZ28" s="12" t="n">
        <f aca="false">IF($C28=1,ROUND(AY28/($E28-$D28+1),0),"")</f>
        <v>8</v>
      </c>
      <c r="BA28" s="12" t="n">
        <f aca="false">IF($C28&lt;&gt;1,"",IF('Base de Dados'!$B$7="Sim",IF(SUMIFS(AI$5:AI27,$B$5:$B27,$B28)&lt;SUMIFS(AZ$5:AZ27,$B$5:$B27,$B28)-0.000000001,ROUNDUP(ROUND(MAX(AX28-SUMIFS(AI$5:AI27,$B$5:$B27,$B28),0)/($E28-$D28+1),6),0),ROUND(MAX(AX28-SUMIFS(AI$5:AI27,$B$5:$B27,$B28),0)/($E28-$D28+1),0)),MAX(AZ28,IF(SUMIFS(AI$5:AI27,$B$5:$B27,$B28)&lt;SUMIFS(AZ$5:AZ27,$B$5:$B27,$B28)-0.000000001,ROUNDUP(ROUND(MAX(AX28-SUMIFS(AI$5:AI27,$B$5:$B27,$B28),0)/($E28-$D28+1),6),0),ROUND(MAX(AX28-SUMIFS(AI$5:AI27,$B$5:$B27,$B28),0)/($E28-$D28+1),0)))))</f>
        <v>12</v>
      </c>
      <c r="BB28" s="12" t="n">
        <f aca="false">IF($A28="",0,IF('Meta Diária'!M28&lt;&gt;"",'Meta Diária'!M28,IF(AND($C28=1,$A28&gt;='Base de Dados'!$B$6),BT28,0)))</f>
        <v>7</v>
      </c>
      <c r="BC28" s="12" t="n">
        <f aca="false">BC27+BB27</f>
        <v>62</v>
      </c>
      <c r="BD28" s="41" t="str">
        <f aca="false">IF($G28=1,IF(BC28&lt;BE28-0.000000001,1,0),"")</f>
        <v/>
      </c>
      <c r="BE28" s="12" t="str">
        <f aca="false">IF($G28=1,SUMIFS(BP$5:BP27,$G$5:$G27,1),"")</f>
        <v/>
      </c>
      <c r="BF28" s="12" t="str">
        <f aca="false">IF($G28=1,IF(AND($E28&gt;=1,($F28-0)&gt;0),IF(BD28=1,ROUNDUP(ROUND((MAX($BB$3-BC28,0)-(0))/($F28-0),6),0),ROUND((MAX($BB$3-BC28,0)-(0))/($F28-0),0)),0),"")</f>
        <v/>
      </c>
      <c r="BG28" s="12" t="str">
        <f aca="false">IF($G28=1,IF(AND($E28&gt;=2,($F28-1)&gt;0),IF(BD28=1,ROUNDUP(ROUND((MAX($BB$3-BC28,0)-(BF28))/($F28-1),6),0),ROUND((MAX($BB$3-BC28,0)-(BF28))/($F28-1),0)),0),"")</f>
        <v/>
      </c>
      <c r="BH28" s="12" t="str">
        <f aca="false">IF($G28=1,IF(AND($E28&gt;=3,($F28-2)&gt;0),IF(BD28=1,ROUNDUP(ROUND((MAX($BB$3-BC28,0)-(BF28+BG28))/($F28-2),6),0),ROUND((MAX($BB$3-BC28,0)-(BF28+BG28))/($F28-2),0)),0),"")</f>
        <v/>
      </c>
      <c r="BI28" s="12" t="str">
        <f aca="false">IF($G28=1,IF(AND($E28&gt;=4,($F28-3)&gt;0),IF(BD28=1,ROUNDUP(ROUND((MAX($BB$3-BC28,0)-(BF28+BG28+BH28))/($F28-3),6),0),ROUND((MAX($BB$3-BC28,0)-(BF28+BG28+BH28))/($F28-3),0)),0),"")</f>
        <v/>
      </c>
      <c r="BJ28" s="12" t="str">
        <f aca="false">IF($G28=1,IF(AND($E28&gt;=5,($F28-4)&gt;0),IF(BD28=1,ROUNDUP(ROUND((MAX($BB$3-BC28,0)-(BF28+BG28+BH28+BI28))/($F28-4),6),0),ROUND((MAX($BB$3-BC28,0)-(BF28+BG28+BH28+BI28))/($F28-4),0)),0),"")</f>
        <v/>
      </c>
      <c r="BK28" s="12" t="str">
        <f aca="false">IF($G28=1,IF(AND($E28&gt;=1,($F28-0)&gt;0),ROUND((($BB$3-BE28)-(0))/($F28-0),0),0),"")</f>
        <v/>
      </c>
      <c r="BL28" s="12" t="str">
        <f aca="false">IF($G28=1,IF(AND($E28&gt;=2,($F28-1)&gt;0),ROUND((($BB$3-BE28)-(BK28))/($F28-1),0),0),"")</f>
        <v/>
      </c>
      <c r="BM28" s="12" t="str">
        <f aca="false">IF($G28=1,IF(AND($E28&gt;=3,($F28-2)&gt;0),ROUND((($BB$3-BE28)-(BK28+BL28))/($F28-2),0),0),"")</f>
        <v/>
      </c>
      <c r="BN28" s="12" t="str">
        <f aca="false">IF($G28=1,IF(AND($E28&gt;=4,($F28-3)&gt;0),ROUND((($BB$3-BE28)-(BK28+BL28+BM28))/($F28-3),0),0),"")</f>
        <v/>
      </c>
      <c r="BO28" s="12" t="str">
        <f aca="false">IF($G28=1,IF(AND($E28&gt;=5,($F28-4)&gt;0),ROUND((($BB$3-BE28)-(BK28+BL28+BM28+BN28))/($F28-4),0),0),"")</f>
        <v/>
      </c>
      <c r="BP28" s="12" t="n">
        <f aca="false">IF($A28="","",IF($G28=1,(BK28+BL28+BM28+BN28+BO28),BP27))</f>
        <v>25</v>
      </c>
      <c r="BQ28" s="12" t="n">
        <f aca="false">IF($A28="","",IF($G28=1,IF('Base de Dados'!$B$7="Sim",(BF28+BG28+BH28+BI28+BJ28),MAX(BP28,(BF28+BG28+BH28+BI28+BJ28))),BQ27))</f>
        <v>37</v>
      </c>
      <c r="BR28" s="12" t="n">
        <f aca="false">IF($A28="","",IF($G28=1,BP28,BR27-N(BS27)))</f>
        <v>5</v>
      </c>
      <c r="BS28" s="12" t="n">
        <f aca="false">IF($C28=1,ROUND(BR28/($E28-$D28+1),0),"")</f>
        <v>5</v>
      </c>
      <c r="BT28" s="12" t="n">
        <f aca="false">IF($C28&lt;&gt;1,"",IF('Base de Dados'!$B$7="Sim",IF(SUMIFS(BB$5:BB27,$B$5:$B27,$B28)&lt;SUMIFS(BS$5:BS27,$B$5:$B27,$B28)-0.000000001,ROUNDUP(ROUND(MAX(BQ28-SUMIFS(BB$5:BB27,$B$5:$B27,$B28),0)/($E28-$D28+1),6),0),ROUND(MAX(BQ28-SUMIFS(BB$5:BB27,$B$5:$B27,$B28),0)/($E28-$D28+1),0)),MAX(BS28,IF(SUMIFS(BB$5:BB27,$B$5:$B27,$B28)&lt;SUMIFS(BS$5:BS27,$B$5:$B27,$B28)-0.000000001,ROUNDUP(ROUND(MAX(BQ28-SUMIFS(BB$5:BB27,$B$5:$B27,$B28),0)/($E28-$D28+1),6),0),ROUND(MAX(BQ28-SUMIFS(BB$5:BB27,$B$5:$B27,$B28),0)/($E28-$D28+1),0)))))</f>
        <v>7</v>
      </c>
      <c r="BU28" s="12" t="n">
        <f aca="false">IF($A28="",0,IF('Meta Diária'!O28&lt;&gt;"",'Meta Diária'!O28,IF(AND($C28=1,$A28&gt;='Base de Dados'!$B$6),CM28,0)))</f>
        <v>2</v>
      </c>
      <c r="BV28" s="12" t="n">
        <f aca="false">BV27+BU27</f>
        <v>20</v>
      </c>
      <c r="BW28" s="41" t="str">
        <f aca="false">IF($G28=1,IF(BV28&lt;BX28-0.000000001,1,0),"")</f>
        <v/>
      </c>
      <c r="BX28" s="12" t="str">
        <f aca="false">IF($G28=1,SUMIFS(CI$5:CI27,$G$5:$G27,1),"")</f>
        <v/>
      </c>
      <c r="BY28" s="12" t="str">
        <f aca="false">IF($G28=1,IF(AND($E28&gt;=1,($F28-0)&gt;0),IF(BW28=1,ROUNDUP(ROUND((MAX($BU$3-BV28,0)-(0))/($F28-0),6),0),ROUND((MAX($BU$3-BV28,0)-(0))/($F28-0),0)),0),"")</f>
        <v/>
      </c>
      <c r="BZ28" s="12" t="str">
        <f aca="false">IF($G28=1,IF(AND($E28&gt;=2,($F28-1)&gt;0),IF(BW28=1,ROUNDUP(ROUND((MAX($BU$3-BV28,0)-(BY28))/($F28-1),6),0),ROUND((MAX($BU$3-BV28,0)-(BY28))/($F28-1),0)),0),"")</f>
        <v/>
      </c>
      <c r="CA28" s="12" t="str">
        <f aca="false">IF($G28=1,IF(AND($E28&gt;=3,($F28-2)&gt;0),IF(BW28=1,ROUNDUP(ROUND((MAX($BU$3-BV28,0)-(BY28+BZ28))/($F28-2),6),0),ROUND((MAX($BU$3-BV28,0)-(BY28+BZ28))/($F28-2),0)),0),"")</f>
        <v/>
      </c>
      <c r="CB28" s="12" t="str">
        <f aca="false">IF($G28=1,IF(AND($E28&gt;=4,($F28-3)&gt;0),IF(BW28=1,ROUNDUP(ROUND((MAX($BU$3-BV28,0)-(BY28+BZ28+CA28))/($F28-3),6),0),ROUND((MAX($BU$3-BV28,0)-(BY28+BZ28+CA28))/($F28-3),0)),0),"")</f>
        <v/>
      </c>
      <c r="CC28" s="12" t="str">
        <f aca="false">IF($G28=1,IF(AND($E28&gt;=5,($F28-4)&gt;0),IF(BW28=1,ROUNDUP(ROUND((MAX($BU$3-BV28,0)-(BY28+BZ28+CA28+CB28))/($F28-4),6),0),ROUND((MAX($BU$3-BV28,0)-(BY28+BZ28+CA28+CB28))/($F28-4),0)),0),"")</f>
        <v/>
      </c>
      <c r="CD28" s="12" t="str">
        <f aca="false">IF($G28=1,IF(AND($E28&gt;=1,($F28-0)&gt;0),ROUND((($BU$3-BX28)-(0))/($F28-0),0),0),"")</f>
        <v/>
      </c>
      <c r="CE28" s="12" t="str">
        <f aca="false">IF($G28=1,IF(AND($E28&gt;=2,($F28-1)&gt;0),ROUND((($BU$3-BX28)-(CD28))/($F28-1),0),0),"")</f>
        <v/>
      </c>
      <c r="CF28" s="12" t="str">
        <f aca="false">IF($G28=1,IF(AND($E28&gt;=3,($F28-2)&gt;0),ROUND((($BU$3-BX28)-(CD28+CE28))/($F28-2),0),0),"")</f>
        <v/>
      </c>
      <c r="CG28" s="12" t="str">
        <f aca="false">IF($G28=1,IF(AND($E28&gt;=4,($F28-3)&gt;0),ROUND((($BU$3-BX28)-(CD28+CE28+CF28))/($F28-3),0),0),"")</f>
        <v/>
      </c>
      <c r="CH28" s="12" t="str">
        <f aca="false">IF($G28=1,IF(AND($E28&gt;=5,($F28-4)&gt;0),ROUND((($BU$3-BX28)-(CD28+CE28+CF28+CG28))/($F28-4),0),0),"")</f>
        <v/>
      </c>
      <c r="CI28" s="12" t="n">
        <f aca="false">IF($A28="","",IF($G28=1,(CD28+CE28+CF28+CG28+CH28),CI27))</f>
        <v>8</v>
      </c>
      <c r="CJ28" s="12" t="n">
        <f aca="false">IF($A28="","",IF($G28=1,IF('Base de Dados'!$B$7="Sim",(BY28+BZ28+CA28+CB28+CC28),MAX(CI28,(BY28+BZ28+CA28+CB28+CC28))),CJ27))</f>
        <v>10</v>
      </c>
      <c r="CK28" s="12" t="n">
        <f aca="false">IF($A28="","",IF($G28=1,CI28,CK27-N(CL27)))</f>
        <v>1</v>
      </c>
      <c r="CL28" s="12" t="n">
        <f aca="false">IF($C28=1,ROUND(CK28/($E28-$D28+1),0),"")</f>
        <v>1</v>
      </c>
      <c r="CM28" s="12" t="n">
        <f aca="false">IF($C28&lt;&gt;1,"",IF('Base de Dados'!$B$7="Sim",IF(SUMIFS(BU$5:BU27,$B$5:$B27,$B28)&lt;SUMIFS(CL$5:CL27,$B$5:$B27,$B28)-0.000000001,ROUNDUP(ROUND(MAX(CJ28-SUMIFS(BU$5:BU27,$B$5:$B27,$B28),0)/($E28-$D28+1),6),0),ROUND(MAX(CJ28-SUMIFS(BU$5:BU27,$B$5:$B27,$B28),0)/($E28-$D28+1),0)),MAX(CL28,IF(SUMIFS(BU$5:BU27,$B$5:$B27,$B28)&lt;SUMIFS(CL$5:CL27,$B$5:$B27,$B28)-0.000000001,ROUNDUP(ROUND(MAX(CJ28-SUMIFS(BU$5:BU27,$B$5:$B27,$B28),0)/($E28-$D28+1),6),0),ROUND(MAX(CJ28-SUMIFS(BU$5:BU27,$B$5:$B27,$B28),0)/($E28-$D28+1),0)))))</f>
        <v>2</v>
      </c>
    </row>
    <row r="29" customFormat="false" ht="15" hidden="false" customHeight="false" outlineLevel="0" collapsed="false">
      <c r="A29" s="7" t="n">
        <f aca="false">IF($E$2+23&lt;=EOMONTH($E$2,0),$E$2+23,"")</f>
        <v>46319</v>
      </c>
      <c r="B29" s="41" t="n">
        <f aca="false">IF(A29="","",IF(COUNTIFS(H$6:H$36,H29,C$6:C$36,1)=0,"",IF(H29=H28,B28,1+MAX(B$5:B28))))</f>
        <v>4</v>
      </c>
      <c r="C29" s="41" t="n">
        <f aca="false">IF(A29="",0,IF(AND(WEEKDAY(A29,2)&lt;=5,COUNTIF(Folgas!$A$5:$A$300,A29)=0),1,0))</f>
        <v>0</v>
      </c>
      <c r="D29" s="41" t="n">
        <f aca="false">IF(C29=1,COUNTIFS(B$6:B29,B29,C$6:C29,1),0)</f>
        <v>0</v>
      </c>
      <c r="E29" s="41" t="n">
        <f aca="false">IF(OR(A29="",B29=""),0,COUNTIFS(B$6:B$36,B29,C$6:C$36,1))</f>
        <v>5</v>
      </c>
      <c r="F29" s="41" t="n">
        <f aca="false">IF(OR(A29="",B29=""),0,COUNTIFS(B$6:B$36,"&gt;="&amp;B29,C$6:C$36,1))</f>
        <v>10</v>
      </c>
      <c r="G29" s="41" t="n">
        <f aca="false">IF(OR(A29="",B29=""),0,IF(B29=B28,0,1))</f>
        <v>0</v>
      </c>
      <c r="H29" s="41" t="n">
        <f aca="false">IF(A29="","",INT((A29-$E$3)/7)+1)</f>
        <v>4</v>
      </c>
      <c r="J29" s="13" t="n">
        <f aca="false">IF($A29="",0,IF('Meta Diária'!G29&lt;&gt;"",'Meta Diária'!G29,IF(AND($C29=1,$A29&gt;='Base de Dados'!$B$6),O29,0)))</f>
        <v>0</v>
      </c>
      <c r="K29" s="13" t="n">
        <f aca="false">K28+J28</f>
        <v>19285.7142857143</v>
      </c>
      <c r="L29" s="13" t="n">
        <f aca="false">IF($A29="","",IF($G29=1,IF($B$2=0,0,$J$3*$E29/$B$2),L28))</f>
        <v>7142.85714285714</v>
      </c>
      <c r="M29" s="13" t="n">
        <f aca="false">IF($A29="","",IF($G29=1,IF('Base de Dados'!$B$7="Sim",IF($F29=0,0,MAX($J$3-K29,0)*$E29/$F29),MAX(L29,IF($F29=0,0,MAX($J$3-K29,0)*$E29/$F29))),M28))</f>
        <v>10714.2857142857</v>
      </c>
      <c r="N29" s="13" t="str">
        <f aca="false">IF($C29=1,M29/$E29,"")</f>
        <v/>
      </c>
      <c r="O29" s="13" t="str">
        <f aca="false">IF($C29&lt;&gt;1,"",IF('Base de Dados'!$B$7="Sim",MAX(M29-SUMIFS(J$5:J28,$B$5:$B28,$B29),0)/($E29-$D29+1),MAX(N29,MAX(M29-SUMIFS(J$5:J28,$B$5:$B28,$B29),0)/($E29-$D29+1))))</f>
        <v/>
      </c>
      <c r="P29" s="12" t="n">
        <f aca="false">IF($A29="",0,IF('Meta Diária'!I29&lt;&gt;"",'Meta Diária'!I29,IF(AND($C29=1,$A29&gt;='Base de Dados'!$B$6),AH29,0)))</f>
        <v>0</v>
      </c>
      <c r="Q29" s="12" t="n">
        <f aca="false">Q28+P28</f>
        <v>553</v>
      </c>
      <c r="R29" s="41" t="str">
        <f aca="false">IF($G29=1,IF(Q29&lt;S29-0.000000001,1,0),"")</f>
        <v/>
      </c>
      <c r="S29" s="12" t="str">
        <f aca="false">IF($G29=1,SUMIFS(AD$5:AD28,$G$5:$G28,1),"")</f>
        <v/>
      </c>
      <c r="T29" s="12" t="str">
        <f aca="false">IF($G29=1,IF(AND($E29&gt;=1,($F29-0)&gt;0),IF(R29=1,ROUNDUP(ROUND((MAX($P$3-Q29,0)-(0))/($F29-0),6),0),ROUND((MAX($P$3-Q29,0)-(0))/($F29-0),0)),0),"")</f>
        <v/>
      </c>
      <c r="U29" s="12" t="str">
        <f aca="false">IF($G29=1,IF(AND($E29&gt;=2,($F29-1)&gt;0),IF(R29=1,ROUNDUP(ROUND((MAX($P$3-Q29,0)-(T29))/($F29-1),6),0),ROUND((MAX($P$3-Q29,0)-(T29))/($F29-1),0)),0),"")</f>
        <v/>
      </c>
      <c r="V29" s="12" t="str">
        <f aca="false">IF($G29=1,IF(AND($E29&gt;=3,($F29-2)&gt;0),IF(R29=1,ROUNDUP(ROUND((MAX($P$3-Q29,0)-(T29+U29))/($F29-2),6),0),ROUND((MAX($P$3-Q29,0)-(T29+U29))/($F29-2),0)),0),"")</f>
        <v/>
      </c>
      <c r="W29" s="12" t="str">
        <f aca="false">IF($G29=1,IF(AND($E29&gt;=4,($F29-3)&gt;0),IF(R29=1,ROUNDUP(ROUND((MAX($P$3-Q29,0)-(T29+U29+V29))/($F29-3),6),0),ROUND((MAX($P$3-Q29,0)-(T29+U29+V29))/($F29-3),0)),0),"")</f>
        <v/>
      </c>
      <c r="X29" s="12" t="str">
        <f aca="false">IF($G29=1,IF(AND($E29&gt;=5,($F29-4)&gt;0),IF(R29=1,ROUNDUP(ROUND((MAX($P$3-Q29,0)-(T29+U29+V29+W29))/($F29-4),6),0),ROUND((MAX($P$3-Q29,0)-(T29+U29+V29+W29))/($F29-4),0)),0),"")</f>
        <v/>
      </c>
      <c r="Y29" s="12" t="str">
        <f aca="false">IF($G29=1,IF(AND($E29&gt;=1,($F29-0)&gt;0),ROUND((($P$3-S29)-(0))/($F29-0),0),0),"")</f>
        <v/>
      </c>
      <c r="Z29" s="12" t="str">
        <f aca="false">IF($G29=1,IF(AND($E29&gt;=2,($F29-1)&gt;0),ROUND((($P$3-S29)-(Y29))/($F29-1),0),0),"")</f>
        <v/>
      </c>
      <c r="AA29" s="12" t="str">
        <f aca="false">IF($G29=1,IF(AND($E29&gt;=3,($F29-2)&gt;0),ROUND((($P$3-S29)-(Y29+Z29))/($F29-2),0),0),"")</f>
        <v/>
      </c>
      <c r="AB29" s="12" t="str">
        <f aca="false">IF($G29=1,IF(AND($E29&gt;=4,($F29-3)&gt;0),ROUND((($P$3-S29)-(Y29+Z29+AA29))/($F29-3),0),0),"")</f>
        <v/>
      </c>
      <c r="AC29" s="12" t="str">
        <f aca="false">IF($G29=1,IF(AND($E29&gt;=5,($F29-4)&gt;0),ROUND((($P$3-S29)-(Y29+Z29+AA29+AB29))/($F29-4),0),0),"")</f>
        <v/>
      </c>
      <c r="AD29" s="12" t="n">
        <f aca="false">IF($A29="","",IF($G29=1,(Y29+Z29+AA29+AB29+AC29),AD28))</f>
        <v>205</v>
      </c>
      <c r="AE29" s="12" t="n">
        <f aca="false">IF($A29="","",IF($G29=1,IF('Base de Dados'!$B$7="Sim",(T29+U29+V29+W29+X29),MAX(AD29,(T29+U29+V29+W29+X29))),AE28))</f>
        <v>305</v>
      </c>
      <c r="AF29" s="12" t="n">
        <f aca="false">IF($A29="","",IF($G29=1,AD29,AF28-N(AG28)))</f>
        <v>0</v>
      </c>
      <c r="AG29" s="12" t="str">
        <f aca="false">IF($C29=1,ROUND(AF29/($E29-$D29+1),0),"")</f>
        <v/>
      </c>
      <c r="AH29" s="12" t="str">
        <f aca="false">IF($C29&lt;&gt;1,"",IF('Base de Dados'!$B$7="Sim",IF(SUMIFS(P$5:P28,$B$5:$B28,$B29)&lt;SUMIFS(AG$5:AG28,$B$5:$B28,$B29)-0.000000001,ROUNDUP(ROUND(MAX(AE29-SUMIFS(P$5:P28,$B$5:$B28,$B29),0)/($E29-$D29+1),6),0),ROUND(MAX(AE29-SUMIFS(P$5:P28,$B$5:$B28,$B29),0)/($E29-$D29+1),0)),MAX(AG29,IF(SUMIFS(P$5:P28,$B$5:$B28,$B29)&lt;SUMIFS(AG$5:AG28,$B$5:$B28,$B29)-0.000000001,ROUNDUP(ROUND(MAX(AE29-SUMIFS(P$5:P28,$B$5:$B28,$B29),0)/($E29-$D29+1),6),0),ROUND(MAX(AE29-SUMIFS(P$5:P28,$B$5:$B28,$B29),0)/($E29-$D29+1),0)))))</f>
        <v/>
      </c>
      <c r="AI29" s="12" t="n">
        <f aca="false">IF($A29="",0,IF('Meta Diária'!K29&lt;&gt;"",'Meta Diária'!K29,IF(AND($C29=1,$A29&gt;='Base de Dados'!$B$6),BA29,0)))</f>
        <v>0</v>
      </c>
      <c r="AJ29" s="12" t="n">
        <f aca="false">AJ28+AI28</f>
        <v>112</v>
      </c>
      <c r="AK29" s="41" t="str">
        <f aca="false">IF($G29=1,IF(AJ29&lt;AL29-0.000000001,1,0),"")</f>
        <v/>
      </c>
      <c r="AL29" s="12" t="str">
        <f aca="false">IF($G29=1,SUMIFS(AW$5:AW28,$G$5:$G28,1),"")</f>
        <v/>
      </c>
      <c r="AM29" s="12" t="str">
        <f aca="false">IF($G29=1,IF(AND($E29&gt;=1,($F29-0)&gt;0),IF(AK29=1,ROUNDUP(ROUND((MAX($AI$3-AJ29,0)-(0))/($F29-0),6),0),ROUND((MAX($AI$3-AJ29,0)-(0))/($F29-0),0)),0),"")</f>
        <v/>
      </c>
      <c r="AN29" s="12" t="str">
        <f aca="false">IF($G29=1,IF(AND($E29&gt;=2,($F29-1)&gt;0),IF(AK29=1,ROUNDUP(ROUND((MAX($AI$3-AJ29,0)-(AM29))/($F29-1),6),0),ROUND((MAX($AI$3-AJ29,0)-(AM29))/($F29-1),0)),0),"")</f>
        <v/>
      </c>
      <c r="AO29" s="12" t="str">
        <f aca="false">IF($G29=1,IF(AND($E29&gt;=3,($F29-2)&gt;0),IF(AK29=1,ROUNDUP(ROUND((MAX($AI$3-AJ29,0)-(AM29+AN29))/($F29-2),6),0),ROUND((MAX($AI$3-AJ29,0)-(AM29+AN29))/($F29-2),0)),0),"")</f>
        <v/>
      </c>
      <c r="AP29" s="12" t="str">
        <f aca="false">IF($G29=1,IF(AND($E29&gt;=4,($F29-3)&gt;0),IF(AK29=1,ROUNDUP(ROUND((MAX($AI$3-AJ29,0)-(AM29+AN29+AO29))/($F29-3),6),0),ROUND((MAX($AI$3-AJ29,0)-(AM29+AN29+AO29))/($F29-3),0)),0),"")</f>
        <v/>
      </c>
      <c r="AQ29" s="12" t="str">
        <f aca="false">IF($G29=1,IF(AND($E29&gt;=5,($F29-4)&gt;0),IF(AK29=1,ROUNDUP(ROUND((MAX($AI$3-AJ29,0)-(AM29+AN29+AO29+AP29))/($F29-4),6),0),ROUND((MAX($AI$3-AJ29,0)-(AM29+AN29+AO29+AP29))/($F29-4),0)),0),"")</f>
        <v/>
      </c>
      <c r="AR29" s="12" t="str">
        <f aca="false">IF($G29=1,IF(AND($E29&gt;=1,($F29-0)&gt;0),ROUND((($AI$3-AL29)-(0))/($F29-0),0),0),"")</f>
        <v/>
      </c>
      <c r="AS29" s="12" t="str">
        <f aca="false">IF($G29=1,IF(AND($E29&gt;=2,($F29-1)&gt;0),ROUND((($AI$3-AL29)-(AR29))/($F29-1),0),0),"")</f>
        <v/>
      </c>
      <c r="AT29" s="12" t="str">
        <f aca="false">IF($G29=1,IF(AND($E29&gt;=3,($F29-2)&gt;0),ROUND((($AI$3-AL29)-(AR29+AS29))/($F29-2),0),0),"")</f>
        <v/>
      </c>
      <c r="AU29" s="12" t="str">
        <f aca="false">IF($G29=1,IF(AND($E29&gt;=4,($F29-3)&gt;0),ROUND((($AI$3-AL29)-(AR29+AS29+AT29))/($F29-3),0),0),"")</f>
        <v/>
      </c>
      <c r="AV29" s="12" t="str">
        <f aca="false">IF($G29=1,IF(AND($E29&gt;=5,($F29-4)&gt;0),ROUND((($AI$3-AL29)-(AR29+AS29+AT29+AU29))/($F29-4),0),0),"")</f>
        <v/>
      </c>
      <c r="AW29" s="12" t="n">
        <f aca="false">IF($A29="","",IF($G29=1,(AR29+AS29+AT29+AU29+AV29),AW28))</f>
        <v>42</v>
      </c>
      <c r="AX29" s="12" t="n">
        <f aca="false">IF($A29="","",IF($G29=1,IF('Base de Dados'!$B$7="Sim",(AM29+AN29+AO29+AP29+AQ29),MAX(AW29,(AM29+AN29+AO29+AP29+AQ29))),AX28))</f>
        <v>60</v>
      </c>
      <c r="AY29" s="12" t="n">
        <f aca="false">IF($A29="","",IF($G29=1,AW29,AY28-N(AZ28)))</f>
        <v>0</v>
      </c>
      <c r="AZ29" s="12" t="str">
        <f aca="false">IF($C29=1,ROUND(AY29/($E29-$D29+1),0),"")</f>
        <v/>
      </c>
      <c r="BA29" s="12" t="str">
        <f aca="false">IF($C29&lt;&gt;1,"",IF('Base de Dados'!$B$7="Sim",IF(SUMIFS(AI$5:AI28,$B$5:$B28,$B29)&lt;SUMIFS(AZ$5:AZ28,$B$5:$B28,$B29)-0.000000001,ROUNDUP(ROUND(MAX(AX29-SUMIFS(AI$5:AI28,$B$5:$B28,$B29),0)/($E29-$D29+1),6),0),ROUND(MAX(AX29-SUMIFS(AI$5:AI28,$B$5:$B28,$B29),0)/($E29-$D29+1),0)),MAX(AZ29,IF(SUMIFS(AI$5:AI28,$B$5:$B28,$B29)&lt;SUMIFS(AZ$5:AZ28,$B$5:$B28,$B29)-0.000000001,ROUNDUP(ROUND(MAX(AX29-SUMIFS(AI$5:AI28,$B$5:$B28,$B29),0)/($E29-$D29+1),6),0),ROUND(MAX(AX29-SUMIFS(AI$5:AI28,$B$5:$B28,$B29),0)/($E29-$D29+1),0)))))</f>
        <v/>
      </c>
      <c r="BB29" s="12" t="n">
        <f aca="false">IF($A29="",0,IF('Meta Diária'!M29&lt;&gt;"",'Meta Diária'!M29,IF(AND($C29=1,$A29&gt;='Base de Dados'!$B$6),BT29,0)))</f>
        <v>0</v>
      </c>
      <c r="BC29" s="12" t="n">
        <f aca="false">BC28+BB28</f>
        <v>69</v>
      </c>
      <c r="BD29" s="41" t="str">
        <f aca="false">IF($G29=1,IF(BC29&lt;BE29-0.000000001,1,0),"")</f>
        <v/>
      </c>
      <c r="BE29" s="12" t="str">
        <f aca="false">IF($G29=1,SUMIFS(BP$5:BP28,$G$5:$G28,1),"")</f>
        <v/>
      </c>
      <c r="BF29" s="12" t="str">
        <f aca="false">IF($G29=1,IF(AND($E29&gt;=1,($F29-0)&gt;0),IF(BD29=1,ROUNDUP(ROUND((MAX($BB$3-BC29,0)-(0))/($F29-0),6),0),ROUND((MAX($BB$3-BC29,0)-(0))/($F29-0),0)),0),"")</f>
        <v/>
      </c>
      <c r="BG29" s="12" t="str">
        <f aca="false">IF($G29=1,IF(AND($E29&gt;=2,($F29-1)&gt;0),IF(BD29=1,ROUNDUP(ROUND((MAX($BB$3-BC29,0)-(BF29))/($F29-1),6),0),ROUND((MAX($BB$3-BC29,0)-(BF29))/($F29-1),0)),0),"")</f>
        <v/>
      </c>
      <c r="BH29" s="12" t="str">
        <f aca="false">IF($G29=1,IF(AND($E29&gt;=3,($F29-2)&gt;0),IF(BD29=1,ROUNDUP(ROUND((MAX($BB$3-BC29,0)-(BF29+BG29))/($F29-2),6),0),ROUND((MAX($BB$3-BC29,0)-(BF29+BG29))/($F29-2),0)),0),"")</f>
        <v/>
      </c>
      <c r="BI29" s="12" t="str">
        <f aca="false">IF($G29=1,IF(AND($E29&gt;=4,($F29-3)&gt;0),IF(BD29=1,ROUNDUP(ROUND((MAX($BB$3-BC29,0)-(BF29+BG29+BH29))/($F29-3),6),0),ROUND((MAX($BB$3-BC29,0)-(BF29+BG29+BH29))/($F29-3),0)),0),"")</f>
        <v/>
      </c>
      <c r="BJ29" s="12" t="str">
        <f aca="false">IF($G29=1,IF(AND($E29&gt;=5,($F29-4)&gt;0),IF(BD29=1,ROUNDUP(ROUND((MAX($BB$3-BC29,0)-(BF29+BG29+BH29+BI29))/($F29-4),6),0),ROUND((MAX($BB$3-BC29,0)-(BF29+BG29+BH29+BI29))/($F29-4),0)),0),"")</f>
        <v/>
      </c>
      <c r="BK29" s="12" t="str">
        <f aca="false">IF($G29=1,IF(AND($E29&gt;=1,($F29-0)&gt;0),ROUND((($BB$3-BE29)-(0))/($F29-0),0),0),"")</f>
        <v/>
      </c>
      <c r="BL29" s="12" t="str">
        <f aca="false">IF($G29=1,IF(AND($E29&gt;=2,($F29-1)&gt;0),ROUND((($BB$3-BE29)-(BK29))/($F29-1),0),0),"")</f>
        <v/>
      </c>
      <c r="BM29" s="12" t="str">
        <f aca="false">IF($G29=1,IF(AND($E29&gt;=3,($F29-2)&gt;0),ROUND((($BB$3-BE29)-(BK29+BL29))/($F29-2),0),0),"")</f>
        <v/>
      </c>
      <c r="BN29" s="12" t="str">
        <f aca="false">IF($G29=1,IF(AND($E29&gt;=4,($F29-3)&gt;0),ROUND((($BB$3-BE29)-(BK29+BL29+BM29))/($F29-3),0),0),"")</f>
        <v/>
      </c>
      <c r="BO29" s="12" t="str">
        <f aca="false">IF($G29=1,IF(AND($E29&gt;=5,($F29-4)&gt;0),ROUND((($BB$3-BE29)-(BK29+BL29+BM29+BN29))/($F29-4),0),0),"")</f>
        <v/>
      </c>
      <c r="BP29" s="12" t="n">
        <f aca="false">IF($A29="","",IF($G29=1,(BK29+BL29+BM29+BN29+BO29),BP28))</f>
        <v>25</v>
      </c>
      <c r="BQ29" s="12" t="n">
        <f aca="false">IF($A29="","",IF($G29=1,IF('Base de Dados'!$B$7="Sim",(BF29+BG29+BH29+BI29+BJ29),MAX(BP29,(BF29+BG29+BH29+BI29+BJ29))),BQ28))</f>
        <v>37</v>
      </c>
      <c r="BR29" s="12" t="n">
        <f aca="false">IF($A29="","",IF($G29=1,BP29,BR28-N(BS28)))</f>
        <v>0</v>
      </c>
      <c r="BS29" s="12" t="str">
        <f aca="false">IF($C29=1,ROUND(BR29/($E29-$D29+1),0),"")</f>
        <v/>
      </c>
      <c r="BT29" s="12" t="str">
        <f aca="false">IF($C29&lt;&gt;1,"",IF('Base de Dados'!$B$7="Sim",IF(SUMIFS(BB$5:BB28,$B$5:$B28,$B29)&lt;SUMIFS(BS$5:BS28,$B$5:$B28,$B29)-0.000000001,ROUNDUP(ROUND(MAX(BQ29-SUMIFS(BB$5:BB28,$B$5:$B28,$B29),0)/($E29-$D29+1),6),0),ROUND(MAX(BQ29-SUMIFS(BB$5:BB28,$B$5:$B28,$B29),0)/($E29-$D29+1),0)),MAX(BS29,IF(SUMIFS(BB$5:BB28,$B$5:$B28,$B29)&lt;SUMIFS(BS$5:BS28,$B$5:$B28,$B29)-0.000000001,ROUNDUP(ROUND(MAX(BQ29-SUMIFS(BB$5:BB28,$B$5:$B28,$B29),0)/($E29-$D29+1),6),0),ROUND(MAX(BQ29-SUMIFS(BB$5:BB28,$B$5:$B28,$B29),0)/($E29-$D29+1),0)))))</f>
        <v/>
      </c>
      <c r="BU29" s="12" t="n">
        <f aca="false">IF($A29="",0,IF('Meta Diária'!O29&lt;&gt;"",'Meta Diária'!O29,IF(AND($C29=1,$A29&gt;='Base de Dados'!$B$6),CM29,0)))</f>
        <v>0</v>
      </c>
      <c r="BV29" s="12" t="n">
        <f aca="false">BV28+BU28</f>
        <v>22</v>
      </c>
      <c r="BW29" s="41" t="str">
        <f aca="false">IF($G29=1,IF(BV29&lt;BX29-0.000000001,1,0),"")</f>
        <v/>
      </c>
      <c r="BX29" s="12" t="str">
        <f aca="false">IF($G29=1,SUMIFS(CI$5:CI28,$G$5:$G28,1),"")</f>
        <v/>
      </c>
      <c r="BY29" s="12" t="str">
        <f aca="false">IF($G29=1,IF(AND($E29&gt;=1,($F29-0)&gt;0),IF(BW29=1,ROUNDUP(ROUND((MAX($BU$3-BV29,0)-(0))/($F29-0),6),0),ROUND((MAX($BU$3-BV29,0)-(0))/($F29-0),0)),0),"")</f>
        <v/>
      </c>
      <c r="BZ29" s="12" t="str">
        <f aca="false">IF($G29=1,IF(AND($E29&gt;=2,($F29-1)&gt;0),IF(BW29=1,ROUNDUP(ROUND((MAX($BU$3-BV29,0)-(BY29))/($F29-1),6),0),ROUND((MAX($BU$3-BV29,0)-(BY29))/($F29-1),0)),0),"")</f>
        <v/>
      </c>
      <c r="CA29" s="12" t="str">
        <f aca="false">IF($G29=1,IF(AND($E29&gt;=3,($F29-2)&gt;0),IF(BW29=1,ROUNDUP(ROUND((MAX($BU$3-BV29,0)-(BY29+BZ29))/($F29-2),6),0),ROUND((MAX($BU$3-BV29,0)-(BY29+BZ29))/($F29-2),0)),0),"")</f>
        <v/>
      </c>
      <c r="CB29" s="12" t="str">
        <f aca="false">IF($G29=1,IF(AND($E29&gt;=4,($F29-3)&gt;0),IF(BW29=1,ROUNDUP(ROUND((MAX($BU$3-BV29,0)-(BY29+BZ29+CA29))/($F29-3),6),0),ROUND((MAX($BU$3-BV29,0)-(BY29+BZ29+CA29))/($F29-3),0)),0),"")</f>
        <v/>
      </c>
      <c r="CC29" s="12" t="str">
        <f aca="false">IF($G29=1,IF(AND($E29&gt;=5,($F29-4)&gt;0),IF(BW29=1,ROUNDUP(ROUND((MAX($BU$3-BV29,0)-(BY29+BZ29+CA29+CB29))/($F29-4),6),0),ROUND((MAX($BU$3-BV29,0)-(BY29+BZ29+CA29+CB29))/($F29-4),0)),0),"")</f>
        <v/>
      </c>
      <c r="CD29" s="12" t="str">
        <f aca="false">IF($G29=1,IF(AND($E29&gt;=1,($F29-0)&gt;0),ROUND((($BU$3-BX29)-(0))/($F29-0),0),0),"")</f>
        <v/>
      </c>
      <c r="CE29" s="12" t="str">
        <f aca="false">IF($G29=1,IF(AND($E29&gt;=2,($F29-1)&gt;0),ROUND((($BU$3-BX29)-(CD29))/($F29-1),0),0),"")</f>
        <v/>
      </c>
      <c r="CF29" s="12" t="str">
        <f aca="false">IF($G29=1,IF(AND($E29&gt;=3,($F29-2)&gt;0),ROUND((($BU$3-BX29)-(CD29+CE29))/($F29-2),0),0),"")</f>
        <v/>
      </c>
      <c r="CG29" s="12" t="str">
        <f aca="false">IF($G29=1,IF(AND($E29&gt;=4,($F29-3)&gt;0),ROUND((($BU$3-BX29)-(CD29+CE29+CF29))/($F29-3),0),0),"")</f>
        <v/>
      </c>
      <c r="CH29" s="12" t="str">
        <f aca="false">IF($G29=1,IF(AND($E29&gt;=5,($F29-4)&gt;0),ROUND((($BU$3-BX29)-(CD29+CE29+CF29+CG29))/($F29-4),0),0),"")</f>
        <v/>
      </c>
      <c r="CI29" s="12" t="n">
        <f aca="false">IF($A29="","",IF($G29=1,(CD29+CE29+CF29+CG29+CH29),CI28))</f>
        <v>8</v>
      </c>
      <c r="CJ29" s="12" t="n">
        <f aca="false">IF($A29="","",IF($G29=1,IF('Base de Dados'!$B$7="Sim",(BY29+BZ29+CA29+CB29+CC29),MAX(CI29,(BY29+BZ29+CA29+CB29+CC29))),CJ28))</f>
        <v>10</v>
      </c>
      <c r="CK29" s="12" t="n">
        <f aca="false">IF($A29="","",IF($G29=1,CI29,CK28-N(CL28)))</f>
        <v>0</v>
      </c>
      <c r="CL29" s="12" t="str">
        <f aca="false">IF($C29=1,ROUND(CK29/($E29-$D29+1),0),"")</f>
        <v/>
      </c>
      <c r="CM29" s="12" t="str">
        <f aca="false">IF($C29&lt;&gt;1,"",IF('Base de Dados'!$B$7="Sim",IF(SUMIFS(BU$5:BU28,$B$5:$B28,$B29)&lt;SUMIFS(CL$5:CL28,$B$5:$B28,$B29)-0.000000001,ROUNDUP(ROUND(MAX(CJ29-SUMIFS(BU$5:BU28,$B$5:$B28,$B29),0)/($E29-$D29+1),6),0),ROUND(MAX(CJ29-SUMIFS(BU$5:BU28,$B$5:$B28,$B29),0)/($E29-$D29+1),0)),MAX(CL29,IF(SUMIFS(BU$5:BU28,$B$5:$B28,$B29)&lt;SUMIFS(CL$5:CL28,$B$5:$B28,$B29)-0.000000001,ROUNDUP(ROUND(MAX(CJ29-SUMIFS(BU$5:BU28,$B$5:$B28,$B29),0)/($E29-$D29+1),6),0),ROUND(MAX(CJ29-SUMIFS(BU$5:BU28,$B$5:$B28,$B29),0)/($E29-$D29+1),0)))))</f>
        <v/>
      </c>
    </row>
    <row r="30" customFormat="false" ht="15" hidden="false" customHeight="false" outlineLevel="0" collapsed="false">
      <c r="A30" s="7" t="n">
        <f aca="false">IF($E$2+24&lt;=EOMONTH($E$2,0),$E$2+24,"")</f>
        <v>46320</v>
      </c>
      <c r="B30" s="41" t="n">
        <f aca="false">IF(A30="","",IF(COUNTIFS(H$6:H$36,H30,C$6:C$36,1)=0,"",IF(H30=H29,B29,1+MAX(B$5:B29))))</f>
        <v>4</v>
      </c>
      <c r="C30" s="41" t="n">
        <f aca="false">IF(A30="",0,IF(AND(WEEKDAY(A30,2)&lt;=5,COUNTIF(Folgas!$A$5:$A$300,A30)=0),1,0))</f>
        <v>0</v>
      </c>
      <c r="D30" s="41" t="n">
        <f aca="false">IF(C30=1,COUNTIFS(B$6:B30,B30,C$6:C30,1),0)</f>
        <v>0</v>
      </c>
      <c r="E30" s="41" t="n">
        <f aca="false">IF(OR(A30="",B30=""),0,COUNTIFS(B$6:B$36,B30,C$6:C$36,1))</f>
        <v>5</v>
      </c>
      <c r="F30" s="41" t="n">
        <f aca="false">IF(OR(A30="",B30=""),0,COUNTIFS(B$6:B$36,"&gt;="&amp;B30,C$6:C$36,1))</f>
        <v>10</v>
      </c>
      <c r="G30" s="41" t="n">
        <f aca="false">IF(OR(A30="",B30=""),0,IF(B30=B29,0,1))</f>
        <v>0</v>
      </c>
      <c r="H30" s="41" t="n">
        <f aca="false">IF(A30="","",INT((A30-$E$3)/7)+1)</f>
        <v>4</v>
      </c>
      <c r="J30" s="13" t="n">
        <f aca="false">IF($A30="",0,IF('Meta Diária'!G30&lt;&gt;"",'Meta Diária'!G30,IF(AND($C30=1,$A30&gt;='Base de Dados'!$B$6),O30,0)))</f>
        <v>0</v>
      </c>
      <c r="K30" s="13" t="n">
        <f aca="false">K29+J29</f>
        <v>19285.7142857143</v>
      </c>
      <c r="L30" s="13" t="n">
        <f aca="false">IF($A30="","",IF($G30=1,IF($B$2=0,0,$J$3*$E30/$B$2),L29))</f>
        <v>7142.85714285714</v>
      </c>
      <c r="M30" s="13" t="n">
        <f aca="false">IF($A30="","",IF($G30=1,IF('Base de Dados'!$B$7="Sim",IF($F30=0,0,MAX($J$3-K30,0)*$E30/$F30),MAX(L30,IF($F30=0,0,MAX($J$3-K30,0)*$E30/$F30))),M29))</f>
        <v>10714.2857142857</v>
      </c>
      <c r="N30" s="13" t="str">
        <f aca="false">IF($C30=1,M30/$E30,"")</f>
        <v/>
      </c>
      <c r="O30" s="13" t="str">
        <f aca="false">IF($C30&lt;&gt;1,"",IF('Base de Dados'!$B$7="Sim",MAX(M30-SUMIFS(J$5:J29,$B$5:$B29,$B30),0)/($E30-$D30+1),MAX(N30,MAX(M30-SUMIFS(J$5:J29,$B$5:$B29,$B30),0)/($E30-$D30+1))))</f>
        <v/>
      </c>
      <c r="P30" s="12" t="n">
        <f aca="false">IF($A30="",0,IF('Meta Diária'!I30&lt;&gt;"",'Meta Diária'!I30,IF(AND($C30=1,$A30&gt;='Base de Dados'!$B$6),AH30,0)))</f>
        <v>0</v>
      </c>
      <c r="Q30" s="12" t="n">
        <f aca="false">Q29+P29</f>
        <v>553</v>
      </c>
      <c r="R30" s="41" t="str">
        <f aca="false">IF($G30=1,IF(Q30&lt;S30-0.000000001,1,0),"")</f>
        <v/>
      </c>
      <c r="S30" s="12" t="str">
        <f aca="false">IF($G30=1,SUMIFS(AD$5:AD29,$G$5:$G29,1),"")</f>
        <v/>
      </c>
      <c r="T30" s="12" t="str">
        <f aca="false">IF($G30=1,IF(AND($E30&gt;=1,($F30-0)&gt;0),IF(R30=1,ROUNDUP(ROUND((MAX($P$3-Q30,0)-(0))/($F30-0),6),0),ROUND((MAX($P$3-Q30,0)-(0))/($F30-0),0)),0),"")</f>
        <v/>
      </c>
      <c r="U30" s="12" t="str">
        <f aca="false">IF($G30=1,IF(AND($E30&gt;=2,($F30-1)&gt;0),IF(R30=1,ROUNDUP(ROUND((MAX($P$3-Q30,0)-(T30))/($F30-1),6),0),ROUND((MAX($P$3-Q30,0)-(T30))/($F30-1),0)),0),"")</f>
        <v/>
      </c>
      <c r="V30" s="12" t="str">
        <f aca="false">IF($G30=1,IF(AND($E30&gt;=3,($F30-2)&gt;0),IF(R30=1,ROUNDUP(ROUND((MAX($P$3-Q30,0)-(T30+U30))/($F30-2),6),0),ROUND((MAX($P$3-Q30,0)-(T30+U30))/($F30-2),0)),0),"")</f>
        <v/>
      </c>
      <c r="W30" s="12" t="str">
        <f aca="false">IF($G30=1,IF(AND($E30&gt;=4,($F30-3)&gt;0),IF(R30=1,ROUNDUP(ROUND((MAX($P$3-Q30,0)-(T30+U30+V30))/($F30-3),6),0),ROUND((MAX($P$3-Q30,0)-(T30+U30+V30))/($F30-3),0)),0),"")</f>
        <v/>
      </c>
      <c r="X30" s="12" t="str">
        <f aca="false">IF($G30=1,IF(AND($E30&gt;=5,($F30-4)&gt;0),IF(R30=1,ROUNDUP(ROUND((MAX($P$3-Q30,0)-(T30+U30+V30+W30))/($F30-4),6),0),ROUND((MAX($P$3-Q30,0)-(T30+U30+V30+W30))/($F30-4),0)),0),"")</f>
        <v/>
      </c>
      <c r="Y30" s="12" t="str">
        <f aca="false">IF($G30=1,IF(AND($E30&gt;=1,($F30-0)&gt;0),ROUND((($P$3-S30)-(0))/($F30-0),0),0),"")</f>
        <v/>
      </c>
      <c r="Z30" s="12" t="str">
        <f aca="false">IF($G30=1,IF(AND($E30&gt;=2,($F30-1)&gt;0),ROUND((($P$3-S30)-(Y30))/($F30-1),0),0),"")</f>
        <v/>
      </c>
      <c r="AA30" s="12" t="str">
        <f aca="false">IF($G30=1,IF(AND($E30&gt;=3,($F30-2)&gt;0),ROUND((($P$3-S30)-(Y30+Z30))/($F30-2),0),0),"")</f>
        <v/>
      </c>
      <c r="AB30" s="12" t="str">
        <f aca="false">IF($G30=1,IF(AND($E30&gt;=4,($F30-3)&gt;0),ROUND((($P$3-S30)-(Y30+Z30+AA30))/($F30-3),0),0),"")</f>
        <v/>
      </c>
      <c r="AC30" s="12" t="str">
        <f aca="false">IF($G30=1,IF(AND($E30&gt;=5,($F30-4)&gt;0),ROUND((($P$3-S30)-(Y30+Z30+AA30+AB30))/($F30-4),0),0),"")</f>
        <v/>
      </c>
      <c r="AD30" s="12" t="n">
        <f aca="false">IF($A30="","",IF($G30=1,(Y30+Z30+AA30+AB30+AC30),AD29))</f>
        <v>205</v>
      </c>
      <c r="AE30" s="12" t="n">
        <f aca="false">IF($A30="","",IF($G30=1,IF('Base de Dados'!$B$7="Sim",(T30+U30+V30+W30+X30),MAX(AD30,(T30+U30+V30+W30+X30))),AE29))</f>
        <v>305</v>
      </c>
      <c r="AF30" s="12" t="n">
        <f aca="false">IF($A30="","",IF($G30=1,AD30,AF29-N(AG29)))</f>
        <v>0</v>
      </c>
      <c r="AG30" s="12" t="str">
        <f aca="false">IF($C30=1,ROUND(AF30/($E30-$D30+1),0),"")</f>
        <v/>
      </c>
      <c r="AH30" s="12" t="str">
        <f aca="false">IF($C30&lt;&gt;1,"",IF('Base de Dados'!$B$7="Sim",IF(SUMIFS(P$5:P29,$B$5:$B29,$B30)&lt;SUMIFS(AG$5:AG29,$B$5:$B29,$B30)-0.000000001,ROUNDUP(ROUND(MAX(AE30-SUMIFS(P$5:P29,$B$5:$B29,$B30),0)/($E30-$D30+1),6),0),ROUND(MAX(AE30-SUMIFS(P$5:P29,$B$5:$B29,$B30),0)/($E30-$D30+1),0)),MAX(AG30,IF(SUMIFS(P$5:P29,$B$5:$B29,$B30)&lt;SUMIFS(AG$5:AG29,$B$5:$B29,$B30)-0.000000001,ROUNDUP(ROUND(MAX(AE30-SUMIFS(P$5:P29,$B$5:$B29,$B30),0)/($E30-$D30+1),6),0),ROUND(MAX(AE30-SUMIFS(P$5:P29,$B$5:$B29,$B30),0)/($E30-$D30+1),0)))))</f>
        <v/>
      </c>
      <c r="AI30" s="12" t="n">
        <f aca="false">IF($A30="",0,IF('Meta Diária'!K30&lt;&gt;"",'Meta Diária'!K30,IF(AND($C30=1,$A30&gt;='Base de Dados'!$B$6),BA30,0)))</f>
        <v>0</v>
      </c>
      <c r="AJ30" s="12" t="n">
        <f aca="false">AJ29+AI29</f>
        <v>112</v>
      </c>
      <c r="AK30" s="41" t="str">
        <f aca="false">IF($G30=1,IF(AJ30&lt;AL30-0.000000001,1,0),"")</f>
        <v/>
      </c>
      <c r="AL30" s="12" t="str">
        <f aca="false">IF($G30=1,SUMIFS(AW$5:AW29,$G$5:$G29,1),"")</f>
        <v/>
      </c>
      <c r="AM30" s="12" t="str">
        <f aca="false">IF($G30=1,IF(AND($E30&gt;=1,($F30-0)&gt;0),IF(AK30=1,ROUNDUP(ROUND((MAX($AI$3-AJ30,0)-(0))/($F30-0),6),0),ROUND((MAX($AI$3-AJ30,0)-(0))/($F30-0),0)),0),"")</f>
        <v/>
      </c>
      <c r="AN30" s="12" t="str">
        <f aca="false">IF($G30=1,IF(AND($E30&gt;=2,($F30-1)&gt;0),IF(AK30=1,ROUNDUP(ROUND((MAX($AI$3-AJ30,0)-(AM30))/($F30-1),6),0),ROUND((MAX($AI$3-AJ30,0)-(AM30))/($F30-1),0)),0),"")</f>
        <v/>
      </c>
      <c r="AO30" s="12" t="str">
        <f aca="false">IF($G30=1,IF(AND($E30&gt;=3,($F30-2)&gt;0),IF(AK30=1,ROUNDUP(ROUND((MAX($AI$3-AJ30,0)-(AM30+AN30))/($F30-2),6),0),ROUND((MAX($AI$3-AJ30,0)-(AM30+AN30))/($F30-2),0)),0),"")</f>
        <v/>
      </c>
      <c r="AP30" s="12" t="str">
        <f aca="false">IF($G30=1,IF(AND($E30&gt;=4,($F30-3)&gt;0),IF(AK30=1,ROUNDUP(ROUND((MAX($AI$3-AJ30,0)-(AM30+AN30+AO30))/($F30-3),6),0),ROUND((MAX($AI$3-AJ30,0)-(AM30+AN30+AO30))/($F30-3),0)),0),"")</f>
        <v/>
      </c>
      <c r="AQ30" s="12" t="str">
        <f aca="false">IF($G30=1,IF(AND($E30&gt;=5,($F30-4)&gt;0),IF(AK30=1,ROUNDUP(ROUND((MAX($AI$3-AJ30,0)-(AM30+AN30+AO30+AP30))/($F30-4),6),0),ROUND((MAX($AI$3-AJ30,0)-(AM30+AN30+AO30+AP30))/($F30-4),0)),0),"")</f>
        <v/>
      </c>
      <c r="AR30" s="12" t="str">
        <f aca="false">IF($G30=1,IF(AND($E30&gt;=1,($F30-0)&gt;0),ROUND((($AI$3-AL30)-(0))/($F30-0),0),0),"")</f>
        <v/>
      </c>
      <c r="AS30" s="12" t="str">
        <f aca="false">IF($G30=1,IF(AND($E30&gt;=2,($F30-1)&gt;0),ROUND((($AI$3-AL30)-(AR30))/($F30-1),0),0),"")</f>
        <v/>
      </c>
      <c r="AT30" s="12" t="str">
        <f aca="false">IF($G30=1,IF(AND($E30&gt;=3,($F30-2)&gt;0),ROUND((($AI$3-AL30)-(AR30+AS30))/($F30-2),0),0),"")</f>
        <v/>
      </c>
      <c r="AU30" s="12" t="str">
        <f aca="false">IF($G30=1,IF(AND($E30&gt;=4,($F30-3)&gt;0),ROUND((($AI$3-AL30)-(AR30+AS30+AT30))/($F30-3),0),0),"")</f>
        <v/>
      </c>
      <c r="AV30" s="12" t="str">
        <f aca="false">IF($G30=1,IF(AND($E30&gt;=5,($F30-4)&gt;0),ROUND((($AI$3-AL30)-(AR30+AS30+AT30+AU30))/($F30-4),0),0),"")</f>
        <v/>
      </c>
      <c r="AW30" s="12" t="n">
        <f aca="false">IF($A30="","",IF($G30=1,(AR30+AS30+AT30+AU30+AV30),AW29))</f>
        <v>42</v>
      </c>
      <c r="AX30" s="12" t="n">
        <f aca="false">IF($A30="","",IF($G30=1,IF('Base de Dados'!$B$7="Sim",(AM30+AN30+AO30+AP30+AQ30),MAX(AW30,(AM30+AN30+AO30+AP30+AQ30))),AX29))</f>
        <v>60</v>
      </c>
      <c r="AY30" s="12" t="n">
        <f aca="false">IF($A30="","",IF($G30=1,AW30,AY29-N(AZ29)))</f>
        <v>0</v>
      </c>
      <c r="AZ30" s="12" t="str">
        <f aca="false">IF($C30=1,ROUND(AY30/($E30-$D30+1),0),"")</f>
        <v/>
      </c>
      <c r="BA30" s="12" t="str">
        <f aca="false">IF($C30&lt;&gt;1,"",IF('Base de Dados'!$B$7="Sim",IF(SUMIFS(AI$5:AI29,$B$5:$B29,$B30)&lt;SUMIFS(AZ$5:AZ29,$B$5:$B29,$B30)-0.000000001,ROUNDUP(ROUND(MAX(AX30-SUMIFS(AI$5:AI29,$B$5:$B29,$B30),0)/($E30-$D30+1),6),0),ROUND(MAX(AX30-SUMIFS(AI$5:AI29,$B$5:$B29,$B30),0)/($E30-$D30+1),0)),MAX(AZ30,IF(SUMIFS(AI$5:AI29,$B$5:$B29,$B30)&lt;SUMIFS(AZ$5:AZ29,$B$5:$B29,$B30)-0.000000001,ROUNDUP(ROUND(MAX(AX30-SUMIFS(AI$5:AI29,$B$5:$B29,$B30),0)/($E30-$D30+1),6),0),ROUND(MAX(AX30-SUMIFS(AI$5:AI29,$B$5:$B29,$B30),0)/($E30-$D30+1),0)))))</f>
        <v/>
      </c>
      <c r="BB30" s="12" t="n">
        <f aca="false">IF($A30="",0,IF('Meta Diária'!M30&lt;&gt;"",'Meta Diária'!M30,IF(AND($C30=1,$A30&gt;='Base de Dados'!$B$6),BT30,0)))</f>
        <v>0</v>
      </c>
      <c r="BC30" s="12" t="n">
        <f aca="false">BC29+BB29</f>
        <v>69</v>
      </c>
      <c r="BD30" s="41" t="str">
        <f aca="false">IF($G30=1,IF(BC30&lt;BE30-0.000000001,1,0),"")</f>
        <v/>
      </c>
      <c r="BE30" s="12" t="str">
        <f aca="false">IF($G30=1,SUMIFS(BP$5:BP29,$G$5:$G29,1),"")</f>
        <v/>
      </c>
      <c r="BF30" s="12" t="str">
        <f aca="false">IF($G30=1,IF(AND($E30&gt;=1,($F30-0)&gt;0),IF(BD30=1,ROUNDUP(ROUND((MAX($BB$3-BC30,0)-(0))/($F30-0),6),0),ROUND((MAX($BB$3-BC30,0)-(0))/($F30-0),0)),0),"")</f>
        <v/>
      </c>
      <c r="BG30" s="12" t="str">
        <f aca="false">IF($G30=1,IF(AND($E30&gt;=2,($F30-1)&gt;0),IF(BD30=1,ROUNDUP(ROUND((MAX($BB$3-BC30,0)-(BF30))/($F30-1),6),0),ROUND((MAX($BB$3-BC30,0)-(BF30))/($F30-1),0)),0),"")</f>
        <v/>
      </c>
      <c r="BH30" s="12" t="str">
        <f aca="false">IF($G30=1,IF(AND($E30&gt;=3,($F30-2)&gt;0),IF(BD30=1,ROUNDUP(ROUND((MAX($BB$3-BC30,0)-(BF30+BG30))/($F30-2),6),0),ROUND((MAX($BB$3-BC30,0)-(BF30+BG30))/($F30-2),0)),0),"")</f>
        <v/>
      </c>
      <c r="BI30" s="12" t="str">
        <f aca="false">IF($G30=1,IF(AND($E30&gt;=4,($F30-3)&gt;0),IF(BD30=1,ROUNDUP(ROUND((MAX($BB$3-BC30,0)-(BF30+BG30+BH30))/($F30-3),6),0),ROUND((MAX($BB$3-BC30,0)-(BF30+BG30+BH30))/($F30-3),0)),0),"")</f>
        <v/>
      </c>
      <c r="BJ30" s="12" t="str">
        <f aca="false">IF($G30=1,IF(AND($E30&gt;=5,($F30-4)&gt;0),IF(BD30=1,ROUNDUP(ROUND((MAX($BB$3-BC30,0)-(BF30+BG30+BH30+BI30))/($F30-4),6),0),ROUND((MAX($BB$3-BC30,0)-(BF30+BG30+BH30+BI30))/($F30-4),0)),0),"")</f>
        <v/>
      </c>
      <c r="BK30" s="12" t="str">
        <f aca="false">IF($G30=1,IF(AND($E30&gt;=1,($F30-0)&gt;0),ROUND((($BB$3-BE30)-(0))/($F30-0),0),0),"")</f>
        <v/>
      </c>
      <c r="BL30" s="12" t="str">
        <f aca="false">IF($G30=1,IF(AND($E30&gt;=2,($F30-1)&gt;0),ROUND((($BB$3-BE30)-(BK30))/($F30-1),0),0),"")</f>
        <v/>
      </c>
      <c r="BM30" s="12" t="str">
        <f aca="false">IF($G30=1,IF(AND($E30&gt;=3,($F30-2)&gt;0),ROUND((($BB$3-BE30)-(BK30+BL30))/($F30-2),0),0),"")</f>
        <v/>
      </c>
      <c r="BN30" s="12" t="str">
        <f aca="false">IF($G30=1,IF(AND($E30&gt;=4,($F30-3)&gt;0),ROUND((($BB$3-BE30)-(BK30+BL30+BM30))/($F30-3),0),0),"")</f>
        <v/>
      </c>
      <c r="BO30" s="12" t="str">
        <f aca="false">IF($G30=1,IF(AND($E30&gt;=5,($F30-4)&gt;0),ROUND((($BB$3-BE30)-(BK30+BL30+BM30+BN30))/($F30-4),0),0),"")</f>
        <v/>
      </c>
      <c r="BP30" s="12" t="n">
        <f aca="false">IF($A30="","",IF($G30=1,(BK30+BL30+BM30+BN30+BO30),BP29))</f>
        <v>25</v>
      </c>
      <c r="BQ30" s="12" t="n">
        <f aca="false">IF($A30="","",IF($G30=1,IF('Base de Dados'!$B$7="Sim",(BF30+BG30+BH30+BI30+BJ30),MAX(BP30,(BF30+BG30+BH30+BI30+BJ30))),BQ29))</f>
        <v>37</v>
      </c>
      <c r="BR30" s="12" t="n">
        <f aca="false">IF($A30="","",IF($G30=1,BP30,BR29-N(BS29)))</f>
        <v>0</v>
      </c>
      <c r="BS30" s="12" t="str">
        <f aca="false">IF($C30=1,ROUND(BR30/($E30-$D30+1),0),"")</f>
        <v/>
      </c>
      <c r="BT30" s="12" t="str">
        <f aca="false">IF($C30&lt;&gt;1,"",IF('Base de Dados'!$B$7="Sim",IF(SUMIFS(BB$5:BB29,$B$5:$B29,$B30)&lt;SUMIFS(BS$5:BS29,$B$5:$B29,$B30)-0.000000001,ROUNDUP(ROUND(MAX(BQ30-SUMIFS(BB$5:BB29,$B$5:$B29,$B30),0)/($E30-$D30+1),6),0),ROUND(MAX(BQ30-SUMIFS(BB$5:BB29,$B$5:$B29,$B30),0)/($E30-$D30+1),0)),MAX(BS30,IF(SUMIFS(BB$5:BB29,$B$5:$B29,$B30)&lt;SUMIFS(BS$5:BS29,$B$5:$B29,$B30)-0.000000001,ROUNDUP(ROUND(MAX(BQ30-SUMIFS(BB$5:BB29,$B$5:$B29,$B30),0)/($E30-$D30+1),6),0),ROUND(MAX(BQ30-SUMIFS(BB$5:BB29,$B$5:$B29,$B30),0)/($E30-$D30+1),0)))))</f>
        <v/>
      </c>
      <c r="BU30" s="12" t="n">
        <f aca="false">IF($A30="",0,IF('Meta Diária'!O30&lt;&gt;"",'Meta Diária'!O30,IF(AND($C30=1,$A30&gt;='Base de Dados'!$B$6),CM30,0)))</f>
        <v>0</v>
      </c>
      <c r="BV30" s="12" t="n">
        <f aca="false">BV29+BU29</f>
        <v>22</v>
      </c>
      <c r="BW30" s="41" t="str">
        <f aca="false">IF($G30=1,IF(BV30&lt;BX30-0.000000001,1,0),"")</f>
        <v/>
      </c>
      <c r="BX30" s="12" t="str">
        <f aca="false">IF($G30=1,SUMIFS(CI$5:CI29,$G$5:$G29,1),"")</f>
        <v/>
      </c>
      <c r="BY30" s="12" t="str">
        <f aca="false">IF($G30=1,IF(AND($E30&gt;=1,($F30-0)&gt;0),IF(BW30=1,ROUNDUP(ROUND((MAX($BU$3-BV30,0)-(0))/($F30-0),6),0),ROUND((MAX($BU$3-BV30,0)-(0))/($F30-0),0)),0),"")</f>
        <v/>
      </c>
      <c r="BZ30" s="12" t="str">
        <f aca="false">IF($G30=1,IF(AND($E30&gt;=2,($F30-1)&gt;0),IF(BW30=1,ROUNDUP(ROUND((MAX($BU$3-BV30,0)-(BY30))/($F30-1),6),0),ROUND((MAX($BU$3-BV30,0)-(BY30))/($F30-1),0)),0),"")</f>
        <v/>
      </c>
      <c r="CA30" s="12" t="str">
        <f aca="false">IF($G30=1,IF(AND($E30&gt;=3,($F30-2)&gt;0),IF(BW30=1,ROUNDUP(ROUND((MAX($BU$3-BV30,0)-(BY30+BZ30))/($F30-2),6),0),ROUND((MAX($BU$3-BV30,0)-(BY30+BZ30))/($F30-2),0)),0),"")</f>
        <v/>
      </c>
      <c r="CB30" s="12" t="str">
        <f aca="false">IF($G30=1,IF(AND($E30&gt;=4,($F30-3)&gt;0),IF(BW30=1,ROUNDUP(ROUND((MAX($BU$3-BV30,0)-(BY30+BZ30+CA30))/($F30-3),6),0),ROUND((MAX($BU$3-BV30,0)-(BY30+BZ30+CA30))/($F30-3),0)),0),"")</f>
        <v/>
      </c>
      <c r="CC30" s="12" t="str">
        <f aca="false">IF($G30=1,IF(AND($E30&gt;=5,($F30-4)&gt;0),IF(BW30=1,ROUNDUP(ROUND((MAX($BU$3-BV30,0)-(BY30+BZ30+CA30+CB30))/($F30-4),6),0),ROUND((MAX($BU$3-BV30,0)-(BY30+BZ30+CA30+CB30))/($F30-4),0)),0),"")</f>
        <v/>
      </c>
      <c r="CD30" s="12" t="str">
        <f aca="false">IF($G30=1,IF(AND($E30&gt;=1,($F30-0)&gt;0),ROUND((($BU$3-BX30)-(0))/($F30-0),0),0),"")</f>
        <v/>
      </c>
      <c r="CE30" s="12" t="str">
        <f aca="false">IF($G30=1,IF(AND($E30&gt;=2,($F30-1)&gt;0),ROUND((($BU$3-BX30)-(CD30))/($F30-1),0),0),"")</f>
        <v/>
      </c>
      <c r="CF30" s="12" t="str">
        <f aca="false">IF($G30=1,IF(AND($E30&gt;=3,($F30-2)&gt;0),ROUND((($BU$3-BX30)-(CD30+CE30))/($F30-2),0),0),"")</f>
        <v/>
      </c>
      <c r="CG30" s="12" t="str">
        <f aca="false">IF($G30=1,IF(AND($E30&gt;=4,($F30-3)&gt;0),ROUND((($BU$3-BX30)-(CD30+CE30+CF30))/($F30-3),0),0),"")</f>
        <v/>
      </c>
      <c r="CH30" s="12" t="str">
        <f aca="false">IF($G30=1,IF(AND($E30&gt;=5,($F30-4)&gt;0),ROUND((($BU$3-BX30)-(CD30+CE30+CF30+CG30))/($F30-4),0),0),"")</f>
        <v/>
      </c>
      <c r="CI30" s="12" t="n">
        <f aca="false">IF($A30="","",IF($G30=1,(CD30+CE30+CF30+CG30+CH30),CI29))</f>
        <v>8</v>
      </c>
      <c r="CJ30" s="12" t="n">
        <f aca="false">IF($A30="","",IF($G30=1,IF('Base de Dados'!$B$7="Sim",(BY30+BZ30+CA30+CB30+CC30),MAX(CI30,(BY30+BZ30+CA30+CB30+CC30))),CJ29))</f>
        <v>10</v>
      </c>
      <c r="CK30" s="12" t="n">
        <f aca="false">IF($A30="","",IF($G30=1,CI30,CK29-N(CL29)))</f>
        <v>0</v>
      </c>
      <c r="CL30" s="12" t="str">
        <f aca="false">IF($C30=1,ROUND(CK30/($E30-$D30+1),0),"")</f>
        <v/>
      </c>
      <c r="CM30" s="12" t="str">
        <f aca="false">IF($C30&lt;&gt;1,"",IF('Base de Dados'!$B$7="Sim",IF(SUMIFS(BU$5:BU29,$B$5:$B29,$B30)&lt;SUMIFS(CL$5:CL29,$B$5:$B29,$B30)-0.000000001,ROUNDUP(ROUND(MAX(CJ30-SUMIFS(BU$5:BU29,$B$5:$B29,$B30),0)/($E30-$D30+1),6),0),ROUND(MAX(CJ30-SUMIFS(BU$5:BU29,$B$5:$B29,$B30),0)/($E30-$D30+1),0)),MAX(CL30,IF(SUMIFS(BU$5:BU29,$B$5:$B29,$B30)&lt;SUMIFS(CL$5:CL29,$B$5:$B29,$B30)-0.000000001,ROUNDUP(ROUND(MAX(CJ30-SUMIFS(BU$5:BU29,$B$5:$B29,$B30),0)/($E30-$D30+1),6),0),ROUND(MAX(CJ30-SUMIFS(BU$5:BU29,$B$5:$B29,$B30),0)/($E30-$D30+1),0)))))</f>
        <v/>
      </c>
    </row>
    <row r="31" customFormat="false" ht="15" hidden="false" customHeight="false" outlineLevel="0" collapsed="false">
      <c r="A31" s="7" t="n">
        <f aca="false">IF($E$2+25&lt;=EOMONTH($E$2,0),$E$2+25,"")</f>
        <v>46321</v>
      </c>
      <c r="B31" s="41" t="n">
        <f aca="false">IF(A31="","",IF(COUNTIFS(H$6:H$36,H31,C$6:C$36,1)=0,"",IF(H31=H30,B30,1+MAX(B$5:B30))))</f>
        <v>5</v>
      </c>
      <c r="C31" s="41" t="n">
        <f aca="false">IF(A31="",0,IF(AND(WEEKDAY(A31,2)&lt;=5,COUNTIF(Folgas!$A$5:$A$300,A31)=0),1,0))</f>
        <v>1</v>
      </c>
      <c r="D31" s="41" t="n">
        <f aca="false">IF(C31=1,COUNTIFS(B$6:B31,B31,C$6:C31,1),0)</f>
        <v>1</v>
      </c>
      <c r="E31" s="41" t="n">
        <f aca="false">IF(OR(A31="",B31=""),0,COUNTIFS(B$6:B$36,B31,C$6:C$36,1))</f>
        <v>5</v>
      </c>
      <c r="F31" s="41" t="n">
        <f aca="false">IF(OR(A31="",B31=""),0,COUNTIFS(B$6:B$36,"&gt;="&amp;B31,C$6:C$36,1))</f>
        <v>5</v>
      </c>
      <c r="G31" s="41" t="n">
        <f aca="false">IF(OR(A31="",B31=""),0,IF(B31=B30,0,1))</f>
        <v>1</v>
      </c>
      <c r="H31" s="41" t="n">
        <f aca="false">IF(A31="","",INT((A31-$E$3)/7)+1)</f>
        <v>5</v>
      </c>
      <c r="J31" s="13" t="n">
        <f aca="false">IF($A31="",0,IF('Meta Diária'!G31&lt;&gt;"",'Meta Diária'!G31,IF(AND($C31=1,$A31&gt;='Base de Dados'!$B$6),O31,0)))</f>
        <v>2142.85714285714</v>
      </c>
      <c r="K31" s="13" t="n">
        <f aca="false">K30+J30</f>
        <v>19285.7142857143</v>
      </c>
      <c r="L31" s="13" t="n">
        <f aca="false">IF($A31="","",IF($G31=1,IF($B$2=0,0,$J$3*$E31/$B$2),L30))</f>
        <v>7142.85714285714</v>
      </c>
      <c r="M31" s="13" t="n">
        <f aca="false">IF($A31="","",IF($G31=1,IF('Base de Dados'!$B$7="Sim",IF($F31=0,0,MAX($J$3-K31,0)*$E31/$F31),MAX(L31,IF($F31=0,0,MAX($J$3-K31,0)*$E31/$F31))),M30))</f>
        <v>10714.2857142857</v>
      </c>
      <c r="N31" s="13" t="n">
        <f aca="false">IF($C31=1,M31/$E31,"")</f>
        <v>2142.85714285714</v>
      </c>
      <c r="O31" s="13" t="n">
        <f aca="false">IF($C31&lt;&gt;1,"",IF('Base de Dados'!$B$7="Sim",MAX(M31-SUMIFS(J$5:J30,$B$5:$B30,$B31),0)/($E31-$D31+1),MAX(N31,MAX(M31-SUMIFS(J$5:J30,$B$5:$B30,$B31),0)/($E31-$D31+1))))</f>
        <v>2142.85714285714</v>
      </c>
      <c r="P31" s="12" t="n">
        <f aca="false">IF($A31="",0,IF('Meta Diária'!I31&lt;&gt;"",'Meta Diária'!I31,IF(AND($C31=1,$A31&gt;='Base de Dados'!$B$6),AH31,0)))</f>
        <v>61</v>
      </c>
      <c r="Q31" s="12" t="n">
        <f aca="false">Q30+P30</f>
        <v>553</v>
      </c>
      <c r="R31" s="41" t="n">
        <f aca="false">IF($G31=1,IF(Q31&lt;S31-0.000000001,1,0),"")</f>
        <v>1</v>
      </c>
      <c r="S31" s="12" t="n">
        <f aca="false">IF($G31=1,SUMIFS(AD$5:AD30,$G$5:$G30,1),"")</f>
        <v>656</v>
      </c>
      <c r="T31" s="12" t="n">
        <f aca="false">IF($G31=1,IF(AND($E31&gt;=1,($F31-0)&gt;0),IF(R31=1,ROUNDUP(ROUND((MAX($P$3-Q31,0)-(0))/($F31-0),6),0),ROUND((MAX($P$3-Q31,0)-(0))/($F31-0),0)),0),"")</f>
        <v>61</v>
      </c>
      <c r="U31" s="12" t="n">
        <f aca="false">IF($G31=1,IF(AND($E31&gt;=2,($F31-1)&gt;0),IF(R31=1,ROUNDUP(ROUND((MAX($P$3-Q31,0)-(T31))/($F31-1),6),0),ROUND((MAX($P$3-Q31,0)-(T31))/($F31-1),0)),0),"")</f>
        <v>61</v>
      </c>
      <c r="V31" s="12" t="n">
        <f aca="false">IF($G31=1,IF(AND($E31&gt;=3,($F31-2)&gt;0),IF(R31=1,ROUNDUP(ROUND((MAX($P$3-Q31,0)-(T31+U31))/($F31-2),6),0),ROUND((MAX($P$3-Q31,0)-(T31+U31))/($F31-2),0)),0),"")</f>
        <v>61</v>
      </c>
      <c r="W31" s="12" t="n">
        <f aca="false">IF($G31=1,IF(AND($E31&gt;=4,($F31-3)&gt;0),IF(R31=1,ROUNDUP(ROUND((MAX($P$3-Q31,0)-(T31+U31+V31))/($F31-3),6),0),ROUND((MAX($P$3-Q31,0)-(T31+U31+V31))/($F31-3),0)),0),"")</f>
        <v>61</v>
      </c>
      <c r="X31" s="12" t="n">
        <f aca="false">IF($G31=1,IF(AND($E31&gt;=5,($F31-4)&gt;0),IF(R31=1,ROUNDUP(ROUND((MAX($P$3-Q31,0)-(T31+U31+V31+W31))/($F31-4),6),0),ROUND((MAX($P$3-Q31,0)-(T31+U31+V31+W31))/($F31-4),0)),0),"")</f>
        <v>61</v>
      </c>
      <c r="Y31" s="12" t="n">
        <f aca="false">IF($G31=1,IF(AND($E31&gt;=1,($F31-0)&gt;0),ROUND((($P$3-S31)-(0))/($F31-0),0),0),"")</f>
        <v>40</v>
      </c>
      <c r="Z31" s="12" t="n">
        <f aca="false">IF($G31=1,IF(AND($E31&gt;=2,($F31-1)&gt;0),ROUND((($P$3-S31)-(Y31))/($F31-1),0),0),"")</f>
        <v>41</v>
      </c>
      <c r="AA31" s="12" t="n">
        <f aca="false">IF($G31=1,IF(AND($E31&gt;=3,($F31-2)&gt;0),ROUND((($P$3-S31)-(Y31+Z31))/($F31-2),0),0),"")</f>
        <v>40</v>
      </c>
      <c r="AB31" s="12" t="n">
        <f aca="false">IF($G31=1,IF(AND($E31&gt;=4,($F31-3)&gt;0),ROUND((($P$3-S31)-(Y31+Z31+AA31))/($F31-3),0),0),"")</f>
        <v>41</v>
      </c>
      <c r="AC31" s="12" t="n">
        <f aca="false">IF($G31=1,IF(AND($E31&gt;=5,($F31-4)&gt;0),ROUND((($P$3-S31)-(Y31+Z31+AA31+AB31))/($F31-4),0),0),"")</f>
        <v>40</v>
      </c>
      <c r="AD31" s="12" t="n">
        <f aca="false">IF($A31="","",IF($G31=1,(Y31+Z31+AA31+AB31+AC31),AD30))</f>
        <v>202</v>
      </c>
      <c r="AE31" s="12" t="n">
        <f aca="false">IF($A31="","",IF($G31=1,IF('Base de Dados'!$B$7="Sim",(T31+U31+V31+W31+X31),MAX(AD31,(T31+U31+V31+W31+X31))),AE30))</f>
        <v>305</v>
      </c>
      <c r="AF31" s="12" t="n">
        <f aca="false">IF($A31="","",IF($G31=1,AD31,AF30-N(AG30)))</f>
        <v>202</v>
      </c>
      <c r="AG31" s="12" t="n">
        <f aca="false">IF($C31=1,ROUND(AF31/($E31-$D31+1),0),"")</f>
        <v>40</v>
      </c>
      <c r="AH31" s="12" t="n">
        <f aca="false">IF($C31&lt;&gt;1,"",IF('Base de Dados'!$B$7="Sim",IF(SUMIFS(P$5:P30,$B$5:$B30,$B31)&lt;SUMIFS(AG$5:AG30,$B$5:$B30,$B31)-0.000000001,ROUNDUP(ROUND(MAX(AE31-SUMIFS(P$5:P30,$B$5:$B30,$B31),0)/($E31-$D31+1),6),0),ROUND(MAX(AE31-SUMIFS(P$5:P30,$B$5:$B30,$B31),0)/($E31-$D31+1),0)),MAX(AG31,IF(SUMIFS(P$5:P30,$B$5:$B30,$B31)&lt;SUMIFS(AG$5:AG30,$B$5:$B30,$B31)-0.000000001,ROUNDUP(ROUND(MAX(AE31-SUMIFS(P$5:P30,$B$5:$B30,$B31),0)/($E31-$D31+1),6),0),ROUND(MAX(AE31-SUMIFS(P$5:P30,$B$5:$B30,$B31),0)/($E31-$D31+1),0)))))</f>
        <v>61</v>
      </c>
      <c r="AI31" s="12" t="n">
        <f aca="false">IF($A31="",0,IF('Meta Diária'!K31&lt;&gt;"",'Meta Diária'!K31,IF(AND($C31=1,$A31&gt;='Base de Dados'!$B$6),BA31,0)))</f>
        <v>12</v>
      </c>
      <c r="AJ31" s="12" t="n">
        <f aca="false">AJ30+AI30</f>
        <v>112</v>
      </c>
      <c r="AK31" s="41" t="n">
        <f aca="false">IF($G31=1,IF(AJ31&lt;AL31-0.000000001,1,0),"")</f>
        <v>1</v>
      </c>
      <c r="AL31" s="12" t="n">
        <f aca="false">IF($G31=1,SUMIFS(AW$5:AW30,$G$5:$G30,1),"")</f>
        <v>130</v>
      </c>
      <c r="AM31" s="12" t="n">
        <f aca="false">IF($G31=1,IF(AND($E31&gt;=1,($F31-0)&gt;0),IF(AK31=1,ROUNDUP(ROUND((MAX($AI$3-AJ31,0)-(0))/($F31-0),6),0),ROUND((MAX($AI$3-AJ31,0)-(0))/($F31-0),0)),0),"")</f>
        <v>12</v>
      </c>
      <c r="AN31" s="12" t="n">
        <f aca="false">IF($G31=1,IF(AND($E31&gt;=2,($F31-1)&gt;0),IF(AK31=1,ROUNDUP(ROUND((MAX($AI$3-AJ31,0)-(AM31))/($F31-1),6),0),ROUND((MAX($AI$3-AJ31,0)-(AM31))/($F31-1),0)),0),"")</f>
        <v>12</v>
      </c>
      <c r="AO31" s="12" t="n">
        <f aca="false">IF($G31=1,IF(AND($E31&gt;=3,($F31-2)&gt;0),IF(AK31=1,ROUNDUP(ROUND((MAX($AI$3-AJ31,0)-(AM31+AN31))/($F31-2),6),0),ROUND((MAX($AI$3-AJ31,0)-(AM31+AN31))/($F31-2),0)),0),"")</f>
        <v>12</v>
      </c>
      <c r="AP31" s="12" t="n">
        <f aca="false">IF($G31=1,IF(AND($E31&gt;=4,($F31-3)&gt;0),IF(AK31=1,ROUNDUP(ROUND((MAX($AI$3-AJ31,0)-(AM31+AN31+AO31))/($F31-3),6),0),ROUND((MAX($AI$3-AJ31,0)-(AM31+AN31+AO31))/($F31-3),0)),0),"")</f>
        <v>12</v>
      </c>
      <c r="AQ31" s="12" t="n">
        <f aca="false">IF($G31=1,IF(AND($E31&gt;=5,($F31-4)&gt;0),IF(AK31=1,ROUNDUP(ROUND((MAX($AI$3-AJ31,0)-(AM31+AN31+AO31+AP31))/($F31-4),6),0),ROUND((MAX($AI$3-AJ31,0)-(AM31+AN31+AO31+AP31))/($F31-4),0)),0),"")</f>
        <v>12</v>
      </c>
      <c r="AR31" s="12" t="n">
        <f aca="false">IF($G31=1,IF(AND($E31&gt;=1,($F31-0)&gt;0),ROUND((($AI$3-AL31)-(0))/($F31-0),0),0),"")</f>
        <v>8</v>
      </c>
      <c r="AS31" s="12" t="n">
        <f aca="false">IF($G31=1,IF(AND($E31&gt;=2,($F31-1)&gt;0),ROUND((($AI$3-AL31)-(AR31))/($F31-1),0),0),"")</f>
        <v>9</v>
      </c>
      <c r="AT31" s="12" t="n">
        <f aca="false">IF($G31=1,IF(AND($E31&gt;=3,($F31-2)&gt;0),ROUND((($AI$3-AL31)-(AR31+AS31))/($F31-2),0),0),"")</f>
        <v>8</v>
      </c>
      <c r="AU31" s="12" t="n">
        <f aca="false">IF($G31=1,IF(AND($E31&gt;=4,($F31-3)&gt;0),ROUND((($AI$3-AL31)-(AR31+AS31+AT31))/($F31-3),0),0),"")</f>
        <v>9</v>
      </c>
      <c r="AV31" s="12" t="n">
        <f aca="false">IF($G31=1,IF(AND($E31&gt;=5,($F31-4)&gt;0),ROUND((($AI$3-AL31)-(AR31+AS31+AT31+AU31))/($F31-4),0),0),"")</f>
        <v>8</v>
      </c>
      <c r="AW31" s="12" t="n">
        <f aca="false">IF($A31="","",IF($G31=1,(AR31+AS31+AT31+AU31+AV31),AW30))</f>
        <v>42</v>
      </c>
      <c r="AX31" s="12" t="n">
        <f aca="false">IF($A31="","",IF($G31=1,IF('Base de Dados'!$B$7="Sim",(AM31+AN31+AO31+AP31+AQ31),MAX(AW31,(AM31+AN31+AO31+AP31+AQ31))),AX30))</f>
        <v>60</v>
      </c>
      <c r="AY31" s="12" t="n">
        <f aca="false">IF($A31="","",IF($G31=1,AW31,AY30-N(AZ30)))</f>
        <v>42</v>
      </c>
      <c r="AZ31" s="12" t="n">
        <f aca="false">IF($C31=1,ROUND(AY31/($E31-$D31+1),0),"")</f>
        <v>8</v>
      </c>
      <c r="BA31" s="12" t="n">
        <f aca="false">IF($C31&lt;&gt;1,"",IF('Base de Dados'!$B$7="Sim",IF(SUMIFS(AI$5:AI30,$B$5:$B30,$B31)&lt;SUMIFS(AZ$5:AZ30,$B$5:$B30,$B31)-0.000000001,ROUNDUP(ROUND(MAX(AX31-SUMIFS(AI$5:AI30,$B$5:$B30,$B31),0)/($E31-$D31+1),6),0),ROUND(MAX(AX31-SUMIFS(AI$5:AI30,$B$5:$B30,$B31),0)/($E31-$D31+1),0)),MAX(AZ31,IF(SUMIFS(AI$5:AI30,$B$5:$B30,$B31)&lt;SUMIFS(AZ$5:AZ30,$B$5:$B30,$B31)-0.000000001,ROUNDUP(ROUND(MAX(AX31-SUMIFS(AI$5:AI30,$B$5:$B30,$B31),0)/($E31-$D31+1),6),0),ROUND(MAX(AX31-SUMIFS(AI$5:AI30,$B$5:$B30,$B31),0)/($E31-$D31+1),0)))))</f>
        <v>12</v>
      </c>
      <c r="BB31" s="12" t="n">
        <f aca="false">IF($A31="",0,IF('Meta Diária'!M31&lt;&gt;"",'Meta Diária'!M31,IF(AND($C31=1,$A31&gt;='Base de Dados'!$B$6),BT31,0)))</f>
        <v>7</v>
      </c>
      <c r="BC31" s="12" t="n">
        <f aca="false">BC30+BB30</f>
        <v>69</v>
      </c>
      <c r="BD31" s="41" t="n">
        <f aca="false">IF($G31=1,IF(BC31&lt;BE31-0.000000001,1,0),"")</f>
        <v>1</v>
      </c>
      <c r="BE31" s="12" t="n">
        <f aca="false">IF($G31=1,SUMIFS(BP$5:BP30,$G$5:$G30,1),"")</f>
        <v>80</v>
      </c>
      <c r="BF31" s="12" t="n">
        <f aca="false">IF($G31=1,IF(AND($E31&gt;=1,($F31-0)&gt;0),IF(BD31=1,ROUNDUP(ROUND((MAX($BB$3-BC31,0)-(0))/($F31-0),6),0),ROUND((MAX($BB$3-BC31,0)-(0))/($F31-0),0)),0),"")</f>
        <v>7</v>
      </c>
      <c r="BG31" s="12" t="n">
        <f aca="false">IF($G31=1,IF(AND($E31&gt;=2,($F31-1)&gt;0),IF(BD31=1,ROUNDUP(ROUND((MAX($BB$3-BC31,0)-(BF31))/($F31-1),6),0),ROUND((MAX($BB$3-BC31,0)-(BF31))/($F31-1),0)),0),"")</f>
        <v>7</v>
      </c>
      <c r="BH31" s="12" t="n">
        <f aca="false">IF($G31=1,IF(AND($E31&gt;=3,($F31-2)&gt;0),IF(BD31=1,ROUNDUP(ROUND((MAX($BB$3-BC31,0)-(BF31+BG31))/($F31-2),6),0),ROUND((MAX($BB$3-BC31,0)-(BF31+BG31))/($F31-2),0)),0),"")</f>
        <v>7</v>
      </c>
      <c r="BI31" s="12" t="n">
        <f aca="false">IF($G31=1,IF(AND($E31&gt;=4,($F31-3)&gt;0),IF(BD31=1,ROUNDUP(ROUND((MAX($BB$3-BC31,0)-(BF31+BG31+BH31))/($F31-3),6),0),ROUND((MAX($BB$3-BC31,0)-(BF31+BG31+BH31))/($F31-3),0)),0),"")</f>
        <v>7</v>
      </c>
      <c r="BJ31" s="12" t="n">
        <f aca="false">IF($G31=1,IF(AND($E31&gt;=5,($F31-4)&gt;0),IF(BD31=1,ROUNDUP(ROUND((MAX($BB$3-BC31,0)-(BF31+BG31+BH31+BI31))/($F31-4),6),0),ROUND((MAX($BB$3-BC31,0)-(BF31+BG31+BH31+BI31))/($F31-4),0)),0),"")</f>
        <v>7</v>
      </c>
      <c r="BK31" s="12" t="n">
        <f aca="false">IF($G31=1,IF(AND($E31&gt;=1,($F31-0)&gt;0),ROUND((($BB$3-BE31)-(0))/($F31-0),0),0),"")</f>
        <v>5</v>
      </c>
      <c r="BL31" s="12" t="n">
        <f aca="false">IF($G31=1,IF(AND($E31&gt;=2,($F31-1)&gt;0),ROUND((($BB$3-BE31)-(BK31))/($F31-1),0),0),"")</f>
        <v>5</v>
      </c>
      <c r="BM31" s="12" t="n">
        <f aca="false">IF($G31=1,IF(AND($E31&gt;=3,($F31-2)&gt;0),ROUND((($BB$3-BE31)-(BK31+BL31))/($F31-2),0),0),"")</f>
        <v>5</v>
      </c>
      <c r="BN31" s="12" t="n">
        <f aca="false">IF($G31=1,IF(AND($E31&gt;=4,($F31-3)&gt;0),ROUND((($BB$3-BE31)-(BK31+BL31+BM31))/($F31-3),0),0),"")</f>
        <v>5</v>
      </c>
      <c r="BO31" s="12" t="n">
        <f aca="false">IF($G31=1,IF(AND($E31&gt;=5,($F31-4)&gt;0),ROUND((($BB$3-BE31)-(BK31+BL31+BM31+BN31))/($F31-4),0),0),"")</f>
        <v>4</v>
      </c>
      <c r="BP31" s="12" t="n">
        <f aca="false">IF($A31="","",IF($G31=1,(BK31+BL31+BM31+BN31+BO31),BP30))</f>
        <v>24</v>
      </c>
      <c r="BQ31" s="12" t="n">
        <f aca="false">IF($A31="","",IF($G31=1,IF('Base de Dados'!$B$7="Sim",(BF31+BG31+BH31+BI31+BJ31),MAX(BP31,(BF31+BG31+BH31+BI31+BJ31))),BQ30))</f>
        <v>35</v>
      </c>
      <c r="BR31" s="12" t="n">
        <f aca="false">IF($A31="","",IF($G31=1,BP31,BR30-N(BS30)))</f>
        <v>24</v>
      </c>
      <c r="BS31" s="12" t="n">
        <f aca="false">IF($C31=1,ROUND(BR31/($E31-$D31+1),0),"")</f>
        <v>5</v>
      </c>
      <c r="BT31" s="12" t="n">
        <f aca="false">IF($C31&lt;&gt;1,"",IF('Base de Dados'!$B$7="Sim",IF(SUMIFS(BB$5:BB30,$B$5:$B30,$B31)&lt;SUMIFS(BS$5:BS30,$B$5:$B30,$B31)-0.000000001,ROUNDUP(ROUND(MAX(BQ31-SUMIFS(BB$5:BB30,$B$5:$B30,$B31),0)/($E31-$D31+1),6),0),ROUND(MAX(BQ31-SUMIFS(BB$5:BB30,$B$5:$B30,$B31),0)/($E31-$D31+1),0)),MAX(BS31,IF(SUMIFS(BB$5:BB30,$B$5:$B30,$B31)&lt;SUMIFS(BS$5:BS30,$B$5:$B30,$B31)-0.000000001,ROUNDUP(ROUND(MAX(BQ31-SUMIFS(BB$5:BB30,$B$5:$B30,$B31),0)/($E31-$D31+1),6),0),ROUND(MAX(BQ31-SUMIFS(BB$5:BB30,$B$5:$B30,$B31),0)/($E31-$D31+1),0)))))</f>
        <v>7</v>
      </c>
      <c r="BU31" s="12" t="n">
        <f aca="false">IF($A31="",0,IF('Meta Diária'!O31&lt;&gt;"",'Meta Diária'!O31,IF(AND($C31=1,$A31&gt;='Base de Dados'!$B$6),CM31,0)))</f>
        <v>2</v>
      </c>
      <c r="BV31" s="12" t="n">
        <f aca="false">BV30+BU30</f>
        <v>22</v>
      </c>
      <c r="BW31" s="41" t="n">
        <f aca="false">IF($G31=1,IF(BV31&lt;BX31-0.000000001,1,0),"")</f>
        <v>1</v>
      </c>
      <c r="BX31" s="12" t="n">
        <f aca="false">IF($G31=1,SUMIFS(CI$5:CI30,$G$5:$G30,1),"")</f>
        <v>25</v>
      </c>
      <c r="BY31" s="12" t="n">
        <f aca="false">IF($G31=1,IF(AND($E31&gt;=1,($F31-0)&gt;0),IF(BW31=1,ROUNDUP(ROUND((MAX($BU$3-BV31,0)-(0))/($F31-0),6),0),ROUND((MAX($BU$3-BV31,0)-(0))/($F31-0),0)),0),"")</f>
        <v>2</v>
      </c>
      <c r="BZ31" s="12" t="n">
        <f aca="false">IF($G31=1,IF(AND($E31&gt;=2,($F31-1)&gt;0),IF(BW31=1,ROUNDUP(ROUND((MAX($BU$3-BV31,0)-(BY31))/($F31-1),6),0),ROUND((MAX($BU$3-BV31,0)-(BY31))/($F31-1),0)),0),"")</f>
        <v>2</v>
      </c>
      <c r="CA31" s="12" t="n">
        <f aca="false">IF($G31=1,IF(AND($E31&gt;=3,($F31-2)&gt;0),IF(BW31=1,ROUNDUP(ROUND((MAX($BU$3-BV31,0)-(BY31+BZ31))/($F31-2),6),0),ROUND((MAX($BU$3-BV31,0)-(BY31+BZ31))/($F31-2),0)),0),"")</f>
        <v>2</v>
      </c>
      <c r="CB31" s="12" t="n">
        <f aca="false">IF($G31=1,IF(AND($E31&gt;=4,($F31-3)&gt;0),IF(BW31=1,ROUNDUP(ROUND((MAX($BU$3-BV31,0)-(BY31+BZ31+CA31))/($F31-3),6),0),ROUND((MAX($BU$3-BV31,0)-(BY31+BZ31+CA31))/($F31-3),0)),0),"")</f>
        <v>2</v>
      </c>
      <c r="CC31" s="12" t="n">
        <f aca="false">IF($G31=1,IF(AND($E31&gt;=5,($F31-4)&gt;0),IF(BW31=1,ROUNDUP(ROUND((MAX($BU$3-BV31,0)-(BY31+BZ31+CA31+CB31))/($F31-4),6),0),ROUND((MAX($BU$3-BV31,0)-(BY31+BZ31+CA31+CB31))/($F31-4),0)),0),"")</f>
        <v>2</v>
      </c>
      <c r="CD31" s="12" t="n">
        <f aca="false">IF($G31=1,IF(AND($E31&gt;=1,($F31-0)&gt;0),ROUND((($BU$3-BX31)-(0))/($F31-0),0),0),"")</f>
        <v>1</v>
      </c>
      <c r="CE31" s="12" t="n">
        <f aca="false">IF($G31=1,IF(AND($E31&gt;=2,($F31-1)&gt;0),ROUND((($BU$3-BX31)-(CD31))/($F31-1),0),0),"")</f>
        <v>2</v>
      </c>
      <c r="CF31" s="12" t="n">
        <f aca="false">IF($G31=1,IF(AND($E31&gt;=3,($F31-2)&gt;0),ROUND((($BU$3-BX31)-(CD31+CE31))/($F31-2),0),0),"")</f>
        <v>1</v>
      </c>
      <c r="CG31" s="12" t="n">
        <f aca="false">IF($G31=1,IF(AND($E31&gt;=4,($F31-3)&gt;0),ROUND((($BU$3-BX31)-(CD31+CE31+CF31))/($F31-3),0),0),"")</f>
        <v>2</v>
      </c>
      <c r="CH31" s="12" t="n">
        <f aca="false">IF($G31=1,IF(AND($E31&gt;=5,($F31-4)&gt;0),ROUND((($BU$3-BX31)-(CD31+CE31+CF31+CG31))/($F31-4),0),0),"")</f>
        <v>1</v>
      </c>
      <c r="CI31" s="12" t="n">
        <f aca="false">IF($A31="","",IF($G31=1,(CD31+CE31+CF31+CG31+CH31),CI30))</f>
        <v>7</v>
      </c>
      <c r="CJ31" s="12" t="n">
        <f aca="false">IF($A31="","",IF($G31=1,IF('Base de Dados'!$B$7="Sim",(BY31+BZ31+CA31+CB31+CC31),MAX(CI31,(BY31+BZ31+CA31+CB31+CC31))),CJ30))</f>
        <v>10</v>
      </c>
      <c r="CK31" s="12" t="n">
        <f aca="false">IF($A31="","",IF($G31=1,CI31,CK30-N(CL30)))</f>
        <v>7</v>
      </c>
      <c r="CL31" s="12" t="n">
        <f aca="false">IF($C31=1,ROUND(CK31/($E31-$D31+1),0),"")</f>
        <v>1</v>
      </c>
      <c r="CM31" s="12" t="n">
        <f aca="false">IF($C31&lt;&gt;1,"",IF('Base de Dados'!$B$7="Sim",IF(SUMIFS(BU$5:BU30,$B$5:$B30,$B31)&lt;SUMIFS(CL$5:CL30,$B$5:$B30,$B31)-0.000000001,ROUNDUP(ROUND(MAX(CJ31-SUMIFS(BU$5:BU30,$B$5:$B30,$B31),0)/($E31-$D31+1),6),0),ROUND(MAX(CJ31-SUMIFS(BU$5:BU30,$B$5:$B30,$B31),0)/($E31-$D31+1),0)),MAX(CL31,IF(SUMIFS(BU$5:BU30,$B$5:$B30,$B31)&lt;SUMIFS(CL$5:CL30,$B$5:$B30,$B31)-0.000000001,ROUNDUP(ROUND(MAX(CJ31-SUMIFS(BU$5:BU30,$B$5:$B30,$B31),0)/($E31-$D31+1),6),0),ROUND(MAX(CJ31-SUMIFS(BU$5:BU30,$B$5:$B30,$B31),0)/($E31-$D31+1),0)))))</f>
        <v>2</v>
      </c>
    </row>
    <row r="32" customFormat="false" ht="15" hidden="false" customHeight="false" outlineLevel="0" collapsed="false">
      <c r="A32" s="7" t="n">
        <f aca="false">IF($E$2+26&lt;=EOMONTH($E$2,0),$E$2+26,"")</f>
        <v>46322</v>
      </c>
      <c r="B32" s="41" t="n">
        <f aca="false">IF(A32="","",IF(COUNTIFS(H$6:H$36,H32,C$6:C$36,1)=0,"",IF(H32=H31,B31,1+MAX(B$5:B31))))</f>
        <v>5</v>
      </c>
      <c r="C32" s="41" t="n">
        <f aca="false">IF(A32="",0,IF(AND(WEEKDAY(A32,2)&lt;=5,COUNTIF(Folgas!$A$5:$A$300,A32)=0),1,0))</f>
        <v>1</v>
      </c>
      <c r="D32" s="41" t="n">
        <f aca="false">IF(C32=1,COUNTIFS(B$6:B32,B32,C$6:C32,1),0)</f>
        <v>2</v>
      </c>
      <c r="E32" s="41" t="n">
        <f aca="false">IF(OR(A32="",B32=""),0,COUNTIFS(B$6:B$36,B32,C$6:C$36,1))</f>
        <v>5</v>
      </c>
      <c r="F32" s="41" t="n">
        <f aca="false">IF(OR(A32="",B32=""),0,COUNTIFS(B$6:B$36,"&gt;="&amp;B32,C$6:C$36,1))</f>
        <v>5</v>
      </c>
      <c r="G32" s="41" t="n">
        <f aca="false">IF(OR(A32="",B32=""),0,IF(B32=B31,0,1))</f>
        <v>0</v>
      </c>
      <c r="H32" s="41" t="n">
        <f aca="false">IF(A32="","",INT((A32-$E$3)/7)+1)</f>
        <v>5</v>
      </c>
      <c r="J32" s="13" t="n">
        <f aca="false">IF($A32="",0,IF('Meta Diária'!G32&lt;&gt;"",'Meta Diária'!G32,IF(AND($C32=1,$A32&gt;='Base de Dados'!$B$6),O32,0)))</f>
        <v>2142.85714285714</v>
      </c>
      <c r="K32" s="13" t="n">
        <f aca="false">K31+J31</f>
        <v>21428.5714285714</v>
      </c>
      <c r="L32" s="13" t="n">
        <f aca="false">IF($A32="","",IF($G32=1,IF($B$2=0,0,$J$3*$E32/$B$2),L31))</f>
        <v>7142.85714285714</v>
      </c>
      <c r="M32" s="13" t="n">
        <f aca="false">IF($A32="","",IF($G32=1,IF('Base de Dados'!$B$7="Sim",IF($F32=0,0,MAX($J$3-K32,0)*$E32/$F32),MAX(L32,IF($F32=0,0,MAX($J$3-K32,0)*$E32/$F32))),M31))</f>
        <v>10714.2857142857</v>
      </c>
      <c r="N32" s="13" t="n">
        <f aca="false">IF($C32=1,M32/$E32,"")</f>
        <v>2142.85714285714</v>
      </c>
      <c r="O32" s="13" t="n">
        <f aca="false">IF($C32&lt;&gt;1,"",IF('Base de Dados'!$B$7="Sim",MAX(M32-SUMIFS(J$5:J31,$B$5:$B31,$B32),0)/($E32-$D32+1),MAX(N32,MAX(M32-SUMIFS(J$5:J31,$B$5:$B31,$B32),0)/($E32-$D32+1))))</f>
        <v>2142.85714285714</v>
      </c>
      <c r="P32" s="12" t="n">
        <f aca="false">IF($A32="",0,IF('Meta Diária'!I32&lt;&gt;"",'Meta Diária'!I32,IF(AND($C32=1,$A32&gt;='Base de Dados'!$B$6),AH32,0)))</f>
        <v>61</v>
      </c>
      <c r="Q32" s="12" t="n">
        <f aca="false">Q31+P31</f>
        <v>614</v>
      </c>
      <c r="R32" s="41" t="str">
        <f aca="false">IF($G32=1,IF(Q32&lt;S32-0.000000001,1,0),"")</f>
        <v/>
      </c>
      <c r="S32" s="12" t="str">
        <f aca="false">IF($G32=1,SUMIFS(AD$5:AD31,$G$5:$G31,1),"")</f>
        <v/>
      </c>
      <c r="T32" s="12" t="str">
        <f aca="false">IF($G32=1,IF(AND($E32&gt;=1,($F32-0)&gt;0),IF(R32=1,ROUNDUP(ROUND((MAX($P$3-Q32,0)-(0))/($F32-0),6),0),ROUND((MAX($P$3-Q32,0)-(0))/($F32-0),0)),0),"")</f>
        <v/>
      </c>
      <c r="U32" s="12" t="str">
        <f aca="false">IF($G32=1,IF(AND($E32&gt;=2,($F32-1)&gt;0),IF(R32=1,ROUNDUP(ROUND((MAX($P$3-Q32,0)-(T32))/($F32-1),6),0),ROUND((MAX($P$3-Q32,0)-(T32))/($F32-1),0)),0),"")</f>
        <v/>
      </c>
      <c r="V32" s="12" t="str">
        <f aca="false">IF($G32=1,IF(AND($E32&gt;=3,($F32-2)&gt;0),IF(R32=1,ROUNDUP(ROUND((MAX($P$3-Q32,0)-(T32+U32))/($F32-2),6),0),ROUND((MAX($P$3-Q32,0)-(T32+U32))/($F32-2),0)),0),"")</f>
        <v/>
      </c>
      <c r="W32" s="12" t="str">
        <f aca="false">IF($G32=1,IF(AND($E32&gt;=4,($F32-3)&gt;0),IF(R32=1,ROUNDUP(ROUND((MAX($P$3-Q32,0)-(T32+U32+V32))/($F32-3),6),0),ROUND((MAX($P$3-Q32,0)-(T32+U32+V32))/($F32-3),0)),0),"")</f>
        <v/>
      </c>
      <c r="X32" s="12" t="str">
        <f aca="false">IF($G32=1,IF(AND($E32&gt;=5,($F32-4)&gt;0),IF(R32=1,ROUNDUP(ROUND((MAX($P$3-Q32,0)-(T32+U32+V32+W32))/($F32-4),6),0),ROUND((MAX($P$3-Q32,0)-(T32+U32+V32+W32))/($F32-4),0)),0),"")</f>
        <v/>
      </c>
      <c r="Y32" s="12" t="str">
        <f aca="false">IF($G32=1,IF(AND($E32&gt;=1,($F32-0)&gt;0),ROUND((($P$3-S32)-(0))/($F32-0),0),0),"")</f>
        <v/>
      </c>
      <c r="Z32" s="12" t="str">
        <f aca="false">IF($G32=1,IF(AND($E32&gt;=2,($F32-1)&gt;0),ROUND((($P$3-S32)-(Y32))/($F32-1),0),0),"")</f>
        <v/>
      </c>
      <c r="AA32" s="12" t="str">
        <f aca="false">IF($G32=1,IF(AND($E32&gt;=3,($F32-2)&gt;0),ROUND((($P$3-S32)-(Y32+Z32))/($F32-2),0),0),"")</f>
        <v/>
      </c>
      <c r="AB32" s="12" t="str">
        <f aca="false">IF($G32=1,IF(AND($E32&gt;=4,($F32-3)&gt;0),ROUND((($P$3-S32)-(Y32+Z32+AA32))/($F32-3),0),0),"")</f>
        <v/>
      </c>
      <c r="AC32" s="12" t="str">
        <f aca="false">IF($G32=1,IF(AND($E32&gt;=5,($F32-4)&gt;0),ROUND((($P$3-S32)-(Y32+Z32+AA32+AB32))/($F32-4),0),0),"")</f>
        <v/>
      </c>
      <c r="AD32" s="12" t="n">
        <f aca="false">IF($A32="","",IF($G32=1,(Y32+Z32+AA32+AB32+AC32),AD31))</f>
        <v>202</v>
      </c>
      <c r="AE32" s="12" t="n">
        <f aca="false">IF($A32="","",IF($G32=1,IF('Base de Dados'!$B$7="Sim",(T32+U32+V32+W32+X32),MAX(AD32,(T32+U32+V32+W32+X32))),AE31))</f>
        <v>305</v>
      </c>
      <c r="AF32" s="12" t="n">
        <f aca="false">IF($A32="","",IF($G32=1,AD32,AF31-N(AG31)))</f>
        <v>162</v>
      </c>
      <c r="AG32" s="12" t="n">
        <f aca="false">IF($C32=1,ROUND(AF32/($E32-$D32+1),0),"")</f>
        <v>41</v>
      </c>
      <c r="AH32" s="12" t="n">
        <f aca="false">IF($C32&lt;&gt;1,"",IF('Base de Dados'!$B$7="Sim",IF(SUMIFS(P$5:P31,$B$5:$B31,$B32)&lt;SUMIFS(AG$5:AG31,$B$5:$B31,$B32)-0.000000001,ROUNDUP(ROUND(MAX(AE32-SUMIFS(P$5:P31,$B$5:$B31,$B32),0)/($E32-$D32+1),6),0),ROUND(MAX(AE32-SUMIFS(P$5:P31,$B$5:$B31,$B32),0)/($E32-$D32+1),0)),MAX(AG32,IF(SUMIFS(P$5:P31,$B$5:$B31,$B32)&lt;SUMIFS(AG$5:AG31,$B$5:$B31,$B32)-0.000000001,ROUNDUP(ROUND(MAX(AE32-SUMIFS(P$5:P31,$B$5:$B31,$B32),0)/($E32-$D32+1),6),0),ROUND(MAX(AE32-SUMIFS(P$5:P31,$B$5:$B31,$B32),0)/($E32-$D32+1),0)))))</f>
        <v>61</v>
      </c>
      <c r="AI32" s="12" t="n">
        <f aca="false">IF($A32="",0,IF('Meta Diária'!K32&lt;&gt;"",'Meta Diária'!K32,IF(AND($C32=1,$A32&gt;='Base de Dados'!$B$6),BA32,0)))</f>
        <v>12</v>
      </c>
      <c r="AJ32" s="12" t="n">
        <f aca="false">AJ31+AI31</f>
        <v>124</v>
      </c>
      <c r="AK32" s="41" t="str">
        <f aca="false">IF($G32=1,IF(AJ32&lt;AL32-0.000000001,1,0),"")</f>
        <v/>
      </c>
      <c r="AL32" s="12" t="str">
        <f aca="false">IF($G32=1,SUMIFS(AW$5:AW31,$G$5:$G31,1),"")</f>
        <v/>
      </c>
      <c r="AM32" s="12" t="str">
        <f aca="false">IF($G32=1,IF(AND($E32&gt;=1,($F32-0)&gt;0),IF(AK32=1,ROUNDUP(ROUND((MAX($AI$3-AJ32,0)-(0))/($F32-0),6),0),ROUND((MAX($AI$3-AJ32,0)-(0))/($F32-0),0)),0),"")</f>
        <v/>
      </c>
      <c r="AN32" s="12" t="str">
        <f aca="false">IF($G32=1,IF(AND($E32&gt;=2,($F32-1)&gt;0),IF(AK32=1,ROUNDUP(ROUND((MAX($AI$3-AJ32,0)-(AM32))/($F32-1),6),0),ROUND((MAX($AI$3-AJ32,0)-(AM32))/($F32-1),0)),0),"")</f>
        <v/>
      </c>
      <c r="AO32" s="12" t="str">
        <f aca="false">IF($G32=1,IF(AND($E32&gt;=3,($F32-2)&gt;0),IF(AK32=1,ROUNDUP(ROUND((MAX($AI$3-AJ32,0)-(AM32+AN32))/($F32-2),6),0),ROUND((MAX($AI$3-AJ32,0)-(AM32+AN32))/($F32-2),0)),0),"")</f>
        <v/>
      </c>
      <c r="AP32" s="12" t="str">
        <f aca="false">IF($G32=1,IF(AND($E32&gt;=4,($F32-3)&gt;0),IF(AK32=1,ROUNDUP(ROUND((MAX($AI$3-AJ32,0)-(AM32+AN32+AO32))/($F32-3),6),0),ROUND((MAX($AI$3-AJ32,0)-(AM32+AN32+AO32))/($F32-3),0)),0),"")</f>
        <v/>
      </c>
      <c r="AQ32" s="12" t="str">
        <f aca="false">IF($G32=1,IF(AND($E32&gt;=5,($F32-4)&gt;0),IF(AK32=1,ROUNDUP(ROUND((MAX($AI$3-AJ32,0)-(AM32+AN32+AO32+AP32))/($F32-4),6),0),ROUND((MAX($AI$3-AJ32,0)-(AM32+AN32+AO32+AP32))/($F32-4),0)),0),"")</f>
        <v/>
      </c>
      <c r="AR32" s="12" t="str">
        <f aca="false">IF($G32=1,IF(AND($E32&gt;=1,($F32-0)&gt;0),ROUND((($AI$3-AL32)-(0))/($F32-0),0),0),"")</f>
        <v/>
      </c>
      <c r="AS32" s="12" t="str">
        <f aca="false">IF($G32=1,IF(AND($E32&gt;=2,($F32-1)&gt;0),ROUND((($AI$3-AL32)-(AR32))/($F32-1),0),0),"")</f>
        <v/>
      </c>
      <c r="AT32" s="12" t="str">
        <f aca="false">IF($G32=1,IF(AND($E32&gt;=3,($F32-2)&gt;0),ROUND((($AI$3-AL32)-(AR32+AS32))/($F32-2),0),0),"")</f>
        <v/>
      </c>
      <c r="AU32" s="12" t="str">
        <f aca="false">IF($G32=1,IF(AND($E32&gt;=4,($F32-3)&gt;0),ROUND((($AI$3-AL32)-(AR32+AS32+AT32))/($F32-3),0),0),"")</f>
        <v/>
      </c>
      <c r="AV32" s="12" t="str">
        <f aca="false">IF($G32=1,IF(AND($E32&gt;=5,($F32-4)&gt;0),ROUND((($AI$3-AL32)-(AR32+AS32+AT32+AU32))/($F32-4),0),0),"")</f>
        <v/>
      </c>
      <c r="AW32" s="12" t="n">
        <f aca="false">IF($A32="","",IF($G32=1,(AR32+AS32+AT32+AU32+AV32),AW31))</f>
        <v>42</v>
      </c>
      <c r="AX32" s="12" t="n">
        <f aca="false">IF($A32="","",IF($G32=1,IF('Base de Dados'!$B$7="Sim",(AM32+AN32+AO32+AP32+AQ32),MAX(AW32,(AM32+AN32+AO32+AP32+AQ32))),AX31))</f>
        <v>60</v>
      </c>
      <c r="AY32" s="12" t="n">
        <f aca="false">IF($A32="","",IF($G32=1,AW32,AY31-N(AZ31)))</f>
        <v>34</v>
      </c>
      <c r="AZ32" s="12" t="n">
        <f aca="false">IF($C32=1,ROUND(AY32/($E32-$D32+1),0),"")</f>
        <v>9</v>
      </c>
      <c r="BA32" s="12" t="n">
        <f aca="false">IF($C32&lt;&gt;1,"",IF('Base de Dados'!$B$7="Sim",IF(SUMIFS(AI$5:AI31,$B$5:$B31,$B32)&lt;SUMIFS(AZ$5:AZ31,$B$5:$B31,$B32)-0.000000001,ROUNDUP(ROUND(MAX(AX32-SUMIFS(AI$5:AI31,$B$5:$B31,$B32),0)/($E32-$D32+1),6),0),ROUND(MAX(AX32-SUMIFS(AI$5:AI31,$B$5:$B31,$B32),0)/($E32-$D32+1),0)),MAX(AZ32,IF(SUMIFS(AI$5:AI31,$B$5:$B31,$B32)&lt;SUMIFS(AZ$5:AZ31,$B$5:$B31,$B32)-0.000000001,ROUNDUP(ROUND(MAX(AX32-SUMIFS(AI$5:AI31,$B$5:$B31,$B32),0)/($E32-$D32+1),6),0),ROUND(MAX(AX32-SUMIFS(AI$5:AI31,$B$5:$B31,$B32),0)/($E32-$D32+1),0)))))</f>
        <v>12</v>
      </c>
      <c r="BB32" s="12" t="n">
        <f aca="false">IF($A32="",0,IF('Meta Diária'!M32&lt;&gt;"",'Meta Diária'!M32,IF(AND($C32=1,$A32&gt;='Base de Dados'!$B$6),BT32,0)))</f>
        <v>7</v>
      </c>
      <c r="BC32" s="12" t="n">
        <f aca="false">BC31+BB31</f>
        <v>76</v>
      </c>
      <c r="BD32" s="41" t="str">
        <f aca="false">IF($G32=1,IF(BC32&lt;BE32-0.000000001,1,0),"")</f>
        <v/>
      </c>
      <c r="BE32" s="12" t="str">
        <f aca="false">IF($G32=1,SUMIFS(BP$5:BP31,$G$5:$G31,1),"")</f>
        <v/>
      </c>
      <c r="BF32" s="12" t="str">
        <f aca="false">IF($G32=1,IF(AND($E32&gt;=1,($F32-0)&gt;0),IF(BD32=1,ROUNDUP(ROUND((MAX($BB$3-BC32,0)-(0))/($F32-0),6),0),ROUND((MAX($BB$3-BC32,0)-(0))/($F32-0),0)),0),"")</f>
        <v/>
      </c>
      <c r="BG32" s="12" t="str">
        <f aca="false">IF($G32=1,IF(AND($E32&gt;=2,($F32-1)&gt;0),IF(BD32=1,ROUNDUP(ROUND((MAX($BB$3-BC32,0)-(BF32))/($F32-1),6),0),ROUND((MAX($BB$3-BC32,0)-(BF32))/($F32-1),0)),0),"")</f>
        <v/>
      </c>
      <c r="BH32" s="12" t="str">
        <f aca="false">IF($G32=1,IF(AND($E32&gt;=3,($F32-2)&gt;0),IF(BD32=1,ROUNDUP(ROUND((MAX($BB$3-BC32,0)-(BF32+BG32))/($F32-2),6),0),ROUND((MAX($BB$3-BC32,0)-(BF32+BG32))/($F32-2),0)),0),"")</f>
        <v/>
      </c>
      <c r="BI32" s="12" t="str">
        <f aca="false">IF($G32=1,IF(AND($E32&gt;=4,($F32-3)&gt;0),IF(BD32=1,ROUNDUP(ROUND((MAX($BB$3-BC32,0)-(BF32+BG32+BH32))/($F32-3),6),0),ROUND((MAX($BB$3-BC32,0)-(BF32+BG32+BH32))/($F32-3),0)),0),"")</f>
        <v/>
      </c>
      <c r="BJ32" s="12" t="str">
        <f aca="false">IF($G32=1,IF(AND($E32&gt;=5,($F32-4)&gt;0),IF(BD32=1,ROUNDUP(ROUND((MAX($BB$3-BC32,0)-(BF32+BG32+BH32+BI32))/($F32-4),6),0),ROUND((MAX($BB$3-BC32,0)-(BF32+BG32+BH32+BI32))/($F32-4),0)),0),"")</f>
        <v/>
      </c>
      <c r="BK32" s="12" t="str">
        <f aca="false">IF($G32=1,IF(AND($E32&gt;=1,($F32-0)&gt;0),ROUND((($BB$3-BE32)-(0))/($F32-0),0),0),"")</f>
        <v/>
      </c>
      <c r="BL32" s="12" t="str">
        <f aca="false">IF($G32=1,IF(AND($E32&gt;=2,($F32-1)&gt;0),ROUND((($BB$3-BE32)-(BK32))/($F32-1),0),0),"")</f>
        <v/>
      </c>
      <c r="BM32" s="12" t="str">
        <f aca="false">IF($G32=1,IF(AND($E32&gt;=3,($F32-2)&gt;0),ROUND((($BB$3-BE32)-(BK32+BL32))/($F32-2),0),0),"")</f>
        <v/>
      </c>
      <c r="BN32" s="12" t="str">
        <f aca="false">IF($G32=1,IF(AND($E32&gt;=4,($F32-3)&gt;0),ROUND((($BB$3-BE32)-(BK32+BL32+BM32))/($F32-3),0),0),"")</f>
        <v/>
      </c>
      <c r="BO32" s="12" t="str">
        <f aca="false">IF($G32=1,IF(AND($E32&gt;=5,($F32-4)&gt;0),ROUND((($BB$3-BE32)-(BK32+BL32+BM32+BN32))/($F32-4),0),0),"")</f>
        <v/>
      </c>
      <c r="BP32" s="12" t="n">
        <f aca="false">IF($A32="","",IF($G32=1,(BK32+BL32+BM32+BN32+BO32),BP31))</f>
        <v>24</v>
      </c>
      <c r="BQ32" s="12" t="n">
        <f aca="false">IF($A32="","",IF($G32=1,IF('Base de Dados'!$B$7="Sim",(BF32+BG32+BH32+BI32+BJ32),MAX(BP32,(BF32+BG32+BH32+BI32+BJ32))),BQ31))</f>
        <v>35</v>
      </c>
      <c r="BR32" s="12" t="n">
        <f aca="false">IF($A32="","",IF($G32=1,BP32,BR31-N(BS31)))</f>
        <v>19</v>
      </c>
      <c r="BS32" s="12" t="n">
        <f aca="false">IF($C32=1,ROUND(BR32/($E32-$D32+1),0),"")</f>
        <v>5</v>
      </c>
      <c r="BT32" s="12" t="n">
        <f aca="false">IF($C32&lt;&gt;1,"",IF('Base de Dados'!$B$7="Sim",IF(SUMIFS(BB$5:BB31,$B$5:$B31,$B32)&lt;SUMIFS(BS$5:BS31,$B$5:$B31,$B32)-0.000000001,ROUNDUP(ROUND(MAX(BQ32-SUMIFS(BB$5:BB31,$B$5:$B31,$B32),0)/($E32-$D32+1),6),0),ROUND(MAX(BQ32-SUMIFS(BB$5:BB31,$B$5:$B31,$B32),0)/($E32-$D32+1),0)),MAX(BS32,IF(SUMIFS(BB$5:BB31,$B$5:$B31,$B32)&lt;SUMIFS(BS$5:BS31,$B$5:$B31,$B32)-0.000000001,ROUNDUP(ROUND(MAX(BQ32-SUMIFS(BB$5:BB31,$B$5:$B31,$B32),0)/($E32-$D32+1),6),0),ROUND(MAX(BQ32-SUMIFS(BB$5:BB31,$B$5:$B31,$B32),0)/($E32-$D32+1),0)))))</f>
        <v>7</v>
      </c>
      <c r="BU32" s="12" t="n">
        <f aca="false">IF($A32="",0,IF('Meta Diária'!O32&lt;&gt;"",'Meta Diária'!O32,IF(AND($C32=1,$A32&gt;='Base de Dados'!$B$6),CM32,0)))</f>
        <v>2</v>
      </c>
      <c r="BV32" s="12" t="n">
        <f aca="false">BV31+BU31</f>
        <v>24</v>
      </c>
      <c r="BW32" s="41" t="str">
        <f aca="false">IF($G32=1,IF(BV32&lt;BX32-0.000000001,1,0),"")</f>
        <v/>
      </c>
      <c r="BX32" s="12" t="str">
        <f aca="false">IF($G32=1,SUMIFS(CI$5:CI31,$G$5:$G31,1),"")</f>
        <v/>
      </c>
      <c r="BY32" s="12" t="str">
        <f aca="false">IF($G32=1,IF(AND($E32&gt;=1,($F32-0)&gt;0),IF(BW32=1,ROUNDUP(ROUND((MAX($BU$3-BV32,0)-(0))/($F32-0),6),0),ROUND((MAX($BU$3-BV32,0)-(0))/($F32-0),0)),0),"")</f>
        <v/>
      </c>
      <c r="BZ32" s="12" t="str">
        <f aca="false">IF($G32=1,IF(AND($E32&gt;=2,($F32-1)&gt;0),IF(BW32=1,ROUNDUP(ROUND((MAX($BU$3-BV32,0)-(BY32))/($F32-1),6),0),ROUND((MAX($BU$3-BV32,0)-(BY32))/($F32-1),0)),0),"")</f>
        <v/>
      </c>
      <c r="CA32" s="12" t="str">
        <f aca="false">IF($G32=1,IF(AND($E32&gt;=3,($F32-2)&gt;0),IF(BW32=1,ROUNDUP(ROUND((MAX($BU$3-BV32,0)-(BY32+BZ32))/($F32-2),6),0),ROUND((MAX($BU$3-BV32,0)-(BY32+BZ32))/($F32-2),0)),0),"")</f>
        <v/>
      </c>
      <c r="CB32" s="12" t="str">
        <f aca="false">IF($G32=1,IF(AND($E32&gt;=4,($F32-3)&gt;0),IF(BW32=1,ROUNDUP(ROUND((MAX($BU$3-BV32,0)-(BY32+BZ32+CA32))/($F32-3),6),0),ROUND((MAX($BU$3-BV32,0)-(BY32+BZ32+CA32))/($F32-3),0)),0),"")</f>
        <v/>
      </c>
      <c r="CC32" s="12" t="str">
        <f aca="false">IF($G32=1,IF(AND($E32&gt;=5,($F32-4)&gt;0),IF(BW32=1,ROUNDUP(ROUND((MAX($BU$3-BV32,0)-(BY32+BZ32+CA32+CB32))/($F32-4),6),0),ROUND((MAX($BU$3-BV32,0)-(BY32+BZ32+CA32+CB32))/($F32-4),0)),0),"")</f>
        <v/>
      </c>
      <c r="CD32" s="12" t="str">
        <f aca="false">IF($G32=1,IF(AND($E32&gt;=1,($F32-0)&gt;0),ROUND((($BU$3-BX32)-(0))/($F32-0),0),0),"")</f>
        <v/>
      </c>
      <c r="CE32" s="12" t="str">
        <f aca="false">IF($G32=1,IF(AND($E32&gt;=2,($F32-1)&gt;0),ROUND((($BU$3-BX32)-(CD32))/($F32-1),0),0),"")</f>
        <v/>
      </c>
      <c r="CF32" s="12" t="str">
        <f aca="false">IF($G32=1,IF(AND($E32&gt;=3,($F32-2)&gt;0),ROUND((($BU$3-BX32)-(CD32+CE32))/($F32-2),0),0),"")</f>
        <v/>
      </c>
      <c r="CG32" s="12" t="str">
        <f aca="false">IF($G32=1,IF(AND($E32&gt;=4,($F32-3)&gt;0),ROUND((($BU$3-BX32)-(CD32+CE32+CF32))/($F32-3),0),0),"")</f>
        <v/>
      </c>
      <c r="CH32" s="12" t="str">
        <f aca="false">IF($G32=1,IF(AND($E32&gt;=5,($F32-4)&gt;0),ROUND((($BU$3-BX32)-(CD32+CE32+CF32+CG32))/($F32-4),0),0),"")</f>
        <v/>
      </c>
      <c r="CI32" s="12" t="n">
        <f aca="false">IF($A32="","",IF($G32=1,(CD32+CE32+CF32+CG32+CH32),CI31))</f>
        <v>7</v>
      </c>
      <c r="CJ32" s="12" t="n">
        <f aca="false">IF($A32="","",IF($G32=1,IF('Base de Dados'!$B$7="Sim",(BY32+BZ32+CA32+CB32+CC32),MAX(CI32,(BY32+BZ32+CA32+CB32+CC32))),CJ31))</f>
        <v>10</v>
      </c>
      <c r="CK32" s="12" t="n">
        <f aca="false">IF($A32="","",IF($G32=1,CI32,CK31-N(CL31)))</f>
        <v>6</v>
      </c>
      <c r="CL32" s="12" t="n">
        <f aca="false">IF($C32=1,ROUND(CK32/($E32-$D32+1),0),"")</f>
        <v>2</v>
      </c>
      <c r="CM32" s="12" t="n">
        <f aca="false">IF($C32&lt;&gt;1,"",IF('Base de Dados'!$B$7="Sim",IF(SUMIFS(BU$5:BU31,$B$5:$B31,$B32)&lt;SUMIFS(CL$5:CL31,$B$5:$B31,$B32)-0.000000001,ROUNDUP(ROUND(MAX(CJ32-SUMIFS(BU$5:BU31,$B$5:$B31,$B32),0)/($E32-$D32+1),6),0),ROUND(MAX(CJ32-SUMIFS(BU$5:BU31,$B$5:$B31,$B32),0)/($E32-$D32+1),0)),MAX(CL32,IF(SUMIFS(BU$5:BU31,$B$5:$B31,$B32)&lt;SUMIFS(CL$5:CL31,$B$5:$B31,$B32)-0.000000001,ROUNDUP(ROUND(MAX(CJ32-SUMIFS(BU$5:BU31,$B$5:$B31,$B32),0)/($E32-$D32+1),6),0),ROUND(MAX(CJ32-SUMIFS(BU$5:BU31,$B$5:$B31,$B32),0)/($E32-$D32+1),0)))))</f>
        <v>2</v>
      </c>
    </row>
    <row r="33" customFormat="false" ht="15" hidden="false" customHeight="false" outlineLevel="0" collapsed="false">
      <c r="A33" s="7" t="n">
        <f aca="false">IF($E$2+27&lt;=EOMONTH($E$2,0),$E$2+27,"")</f>
        <v>46323</v>
      </c>
      <c r="B33" s="41" t="n">
        <f aca="false">IF(A33="","",IF(COUNTIFS(H$6:H$36,H33,C$6:C$36,1)=0,"",IF(H33=H32,B32,1+MAX(B$5:B32))))</f>
        <v>5</v>
      </c>
      <c r="C33" s="41" t="n">
        <f aca="false">IF(A33="",0,IF(AND(WEEKDAY(A33,2)&lt;=5,COUNTIF(Folgas!$A$5:$A$300,A33)=0),1,0))</f>
        <v>1</v>
      </c>
      <c r="D33" s="41" t="n">
        <f aca="false">IF(C33=1,COUNTIFS(B$6:B33,B33,C$6:C33,1),0)</f>
        <v>3</v>
      </c>
      <c r="E33" s="41" t="n">
        <f aca="false">IF(OR(A33="",B33=""),0,COUNTIFS(B$6:B$36,B33,C$6:C$36,1))</f>
        <v>5</v>
      </c>
      <c r="F33" s="41" t="n">
        <f aca="false">IF(OR(A33="",B33=""),0,COUNTIFS(B$6:B$36,"&gt;="&amp;B33,C$6:C$36,1))</f>
        <v>5</v>
      </c>
      <c r="G33" s="41" t="n">
        <f aca="false">IF(OR(A33="",B33=""),0,IF(B33=B32,0,1))</f>
        <v>0</v>
      </c>
      <c r="H33" s="41" t="n">
        <f aca="false">IF(A33="","",INT((A33-$E$3)/7)+1)</f>
        <v>5</v>
      </c>
      <c r="J33" s="13" t="n">
        <f aca="false">IF($A33="",0,IF('Meta Diária'!G33&lt;&gt;"",'Meta Diária'!G33,IF(AND($C33=1,$A33&gt;='Base de Dados'!$B$6),O33,0)))</f>
        <v>2142.85714285714</v>
      </c>
      <c r="K33" s="13" t="n">
        <f aca="false">K32+J32</f>
        <v>23571.4285714286</v>
      </c>
      <c r="L33" s="13" t="n">
        <f aca="false">IF($A33="","",IF($G33=1,IF($B$2=0,0,$J$3*$E33/$B$2),L32))</f>
        <v>7142.85714285714</v>
      </c>
      <c r="M33" s="13" t="n">
        <f aca="false">IF($A33="","",IF($G33=1,IF('Base de Dados'!$B$7="Sim",IF($F33=0,0,MAX($J$3-K33,0)*$E33/$F33),MAX(L33,IF($F33=0,0,MAX($J$3-K33,0)*$E33/$F33))),M32))</f>
        <v>10714.2857142857</v>
      </c>
      <c r="N33" s="13" t="n">
        <f aca="false">IF($C33=1,M33/$E33,"")</f>
        <v>2142.85714285714</v>
      </c>
      <c r="O33" s="13" t="n">
        <f aca="false">IF($C33&lt;&gt;1,"",IF('Base de Dados'!$B$7="Sim",MAX(M33-SUMIFS(J$5:J32,$B$5:$B32,$B33),0)/($E33-$D33+1),MAX(N33,MAX(M33-SUMIFS(J$5:J32,$B$5:$B32,$B33),0)/($E33-$D33+1))))</f>
        <v>2142.85714285714</v>
      </c>
      <c r="P33" s="12" t="n">
        <f aca="false">IF($A33="",0,IF('Meta Diária'!I33&lt;&gt;"",'Meta Diária'!I33,IF(AND($C33=1,$A33&gt;='Base de Dados'!$B$6),AH33,0)))</f>
        <v>61</v>
      </c>
      <c r="Q33" s="12" t="n">
        <f aca="false">Q32+P32</f>
        <v>675</v>
      </c>
      <c r="R33" s="41" t="str">
        <f aca="false">IF($G33=1,IF(Q33&lt;S33-0.000000001,1,0),"")</f>
        <v/>
      </c>
      <c r="S33" s="12" t="str">
        <f aca="false">IF($G33=1,SUMIFS(AD$5:AD32,$G$5:$G32,1),"")</f>
        <v/>
      </c>
      <c r="T33" s="12" t="str">
        <f aca="false">IF($G33=1,IF(AND($E33&gt;=1,($F33-0)&gt;0),IF(R33=1,ROUNDUP(ROUND((MAX($P$3-Q33,0)-(0))/($F33-0),6),0),ROUND((MAX($P$3-Q33,0)-(0))/($F33-0),0)),0),"")</f>
        <v/>
      </c>
      <c r="U33" s="12" t="str">
        <f aca="false">IF($G33=1,IF(AND($E33&gt;=2,($F33-1)&gt;0),IF(R33=1,ROUNDUP(ROUND((MAX($P$3-Q33,0)-(T33))/($F33-1),6),0),ROUND((MAX($P$3-Q33,0)-(T33))/($F33-1),0)),0),"")</f>
        <v/>
      </c>
      <c r="V33" s="12" t="str">
        <f aca="false">IF($G33=1,IF(AND($E33&gt;=3,($F33-2)&gt;0),IF(R33=1,ROUNDUP(ROUND((MAX($P$3-Q33,0)-(T33+U33))/($F33-2),6),0),ROUND((MAX($P$3-Q33,0)-(T33+U33))/($F33-2),0)),0),"")</f>
        <v/>
      </c>
      <c r="W33" s="12" t="str">
        <f aca="false">IF($G33=1,IF(AND($E33&gt;=4,($F33-3)&gt;0),IF(R33=1,ROUNDUP(ROUND((MAX($P$3-Q33,0)-(T33+U33+V33))/($F33-3),6),0),ROUND((MAX($P$3-Q33,0)-(T33+U33+V33))/($F33-3),0)),0),"")</f>
        <v/>
      </c>
      <c r="X33" s="12" t="str">
        <f aca="false">IF($G33=1,IF(AND($E33&gt;=5,($F33-4)&gt;0),IF(R33=1,ROUNDUP(ROUND((MAX($P$3-Q33,0)-(T33+U33+V33+W33))/($F33-4),6),0),ROUND((MAX($P$3-Q33,0)-(T33+U33+V33+W33))/($F33-4),0)),0),"")</f>
        <v/>
      </c>
      <c r="Y33" s="12" t="str">
        <f aca="false">IF($G33=1,IF(AND($E33&gt;=1,($F33-0)&gt;0),ROUND((($P$3-S33)-(0))/($F33-0),0),0),"")</f>
        <v/>
      </c>
      <c r="Z33" s="12" t="str">
        <f aca="false">IF($G33=1,IF(AND($E33&gt;=2,($F33-1)&gt;0),ROUND((($P$3-S33)-(Y33))/($F33-1),0),0),"")</f>
        <v/>
      </c>
      <c r="AA33" s="12" t="str">
        <f aca="false">IF($G33=1,IF(AND($E33&gt;=3,($F33-2)&gt;0),ROUND((($P$3-S33)-(Y33+Z33))/($F33-2),0),0),"")</f>
        <v/>
      </c>
      <c r="AB33" s="12" t="str">
        <f aca="false">IF($G33=1,IF(AND($E33&gt;=4,($F33-3)&gt;0),ROUND((($P$3-S33)-(Y33+Z33+AA33))/($F33-3),0),0),"")</f>
        <v/>
      </c>
      <c r="AC33" s="12" t="str">
        <f aca="false">IF($G33=1,IF(AND($E33&gt;=5,($F33-4)&gt;0),ROUND((($P$3-S33)-(Y33+Z33+AA33+AB33))/($F33-4),0),0),"")</f>
        <v/>
      </c>
      <c r="AD33" s="12" t="n">
        <f aca="false">IF($A33="","",IF($G33=1,(Y33+Z33+AA33+AB33+AC33),AD32))</f>
        <v>202</v>
      </c>
      <c r="AE33" s="12" t="n">
        <f aca="false">IF($A33="","",IF($G33=1,IF('Base de Dados'!$B$7="Sim",(T33+U33+V33+W33+X33),MAX(AD33,(T33+U33+V33+W33+X33))),AE32))</f>
        <v>305</v>
      </c>
      <c r="AF33" s="12" t="n">
        <f aca="false">IF($A33="","",IF($G33=1,AD33,AF32-N(AG32)))</f>
        <v>121</v>
      </c>
      <c r="AG33" s="12" t="n">
        <f aca="false">IF($C33=1,ROUND(AF33/($E33-$D33+1),0),"")</f>
        <v>40</v>
      </c>
      <c r="AH33" s="12" t="n">
        <f aca="false">IF($C33&lt;&gt;1,"",IF('Base de Dados'!$B$7="Sim",IF(SUMIFS(P$5:P32,$B$5:$B32,$B33)&lt;SUMIFS(AG$5:AG32,$B$5:$B32,$B33)-0.000000001,ROUNDUP(ROUND(MAX(AE33-SUMIFS(P$5:P32,$B$5:$B32,$B33),0)/($E33-$D33+1),6),0),ROUND(MAX(AE33-SUMIFS(P$5:P32,$B$5:$B32,$B33),0)/($E33-$D33+1),0)),MAX(AG33,IF(SUMIFS(P$5:P32,$B$5:$B32,$B33)&lt;SUMIFS(AG$5:AG32,$B$5:$B32,$B33)-0.000000001,ROUNDUP(ROUND(MAX(AE33-SUMIFS(P$5:P32,$B$5:$B32,$B33),0)/($E33-$D33+1),6),0),ROUND(MAX(AE33-SUMIFS(P$5:P32,$B$5:$B32,$B33),0)/($E33-$D33+1),0)))))</f>
        <v>61</v>
      </c>
      <c r="AI33" s="12" t="n">
        <f aca="false">IF($A33="",0,IF('Meta Diária'!K33&lt;&gt;"",'Meta Diária'!K33,IF(AND($C33=1,$A33&gt;='Base de Dados'!$B$6),BA33,0)))</f>
        <v>12</v>
      </c>
      <c r="AJ33" s="12" t="n">
        <f aca="false">AJ32+AI32</f>
        <v>136</v>
      </c>
      <c r="AK33" s="41" t="str">
        <f aca="false">IF($G33=1,IF(AJ33&lt;AL33-0.000000001,1,0),"")</f>
        <v/>
      </c>
      <c r="AL33" s="12" t="str">
        <f aca="false">IF($G33=1,SUMIFS(AW$5:AW32,$G$5:$G32,1),"")</f>
        <v/>
      </c>
      <c r="AM33" s="12" t="str">
        <f aca="false">IF($G33=1,IF(AND($E33&gt;=1,($F33-0)&gt;0),IF(AK33=1,ROUNDUP(ROUND((MAX($AI$3-AJ33,0)-(0))/($F33-0),6),0),ROUND((MAX($AI$3-AJ33,0)-(0))/($F33-0),0)),0),"")</f>
        <v/>
      </c>
      <c r="AN33" s="12" t="str">
        <f aca="false">IF($G33=1,IF(AND($E33&gt;=2,($F33-1)&gt;0),IF(AK33=1,ROUNDUP(ROUND((MAX($AI$3-AJ33,0)-(AM33))/($F33-1),6),0),ROUND((MAX($AI$3-AJ33,0)-(AM33))/($F33-1),0)),0),"")</f>
        <v/>
      </c>
      <c r="AO33" s="12" t="str">
        <f aca="false">IF($G33=1,IF(AND($E33&gt;=3,($F33-2)&gt;0),IF(AK33=1,ROUNDUP(ROUND((MAX($AI$3-AJ33,0)-(AM33+AN33))/($F33-2),6),0),ROUND((MAX($AI$3-AJ33,0)-(AM33+AN33))/($F33-2),0)),0),"")</f>
        <v/>
      </c>
      <c r="AP33" s="12" t="str">
        <f aca="false">IF($G33=1,IF(AND($E33&gt;=4,($F33-3)&gt;0),IF(AK33=1,ROUNDUP(ROUND((MAX($AI$3-AJ33,0)-(AM33+AN33+AO33))/($F33-3),6),0),ROUND((MAX($AI$3-AJ33,0)-(AM33+AN33+AO33))/($F33-3),0)),0),"")</f>
        <v/>
      </c>
      <c r="AQ33" s="12" t="str">
        <f aca="false">IF($G33=1,IF(AND($E33&gt;=5,($F33-4)&gt;0),IF(AK33=1,ROUNDUP(ROUND((MAX($AI$3-AJ33,0)-(AM33+AN33+AO33+AP33))/($F33-4),6),0),ROUND((MAX($AI$3-AJ33,0)-(AM33+AN33+AO33+AP33))/($F33-4),0)),0),"")</f>
        <v/>
      </c>
      <c r="AR33" s="12" t="str">
        <f aca="false">IF($G33=1,IF(AND($E33&gt;=1,($F33-0)&gt;0),ROUND((($AI$3-AL33)-(0))/($F33-0),0),0),"")</f>
        <v/>
      </c>
      <c r="AS33" s="12" t="str">
        <f aca="false">IF($G33=1,IF(AND($E33&gt;=2,($F33-1)&gt;0),ROUND((($AI$3-AL33)-(AR33))/($F33-1),0),0),"")</f>
        <v/>
      </c>
      <c r="AT33" s="12" t="str">
        <f aca="false">IF($G33=1,IF(AND($E33&gt;=3,($F33-2)&gt;0),ROUND((($AI$3-AL33)-(AR33+AS33))/($F33-2),0),0),"")</f>
        <v/>
      </c>
      <c r="AU33" s="12" t="str">
        <f aca="false">IF($G33=1,IF(AND($E33&gt;=4,($F33-3)&gt;0),ROUND((($AI$3-AL33)-(AR33+AS33+AT33))/($F33-3),0),0),"")</f>
        <v/>
      </c>
      <c r="AV33" s="12" t="str">
        <f aca="false">IF($G33=1,IF(AND($E33&gt;=5,($F33-4)&gt;0),ROUND((($AI$3-AL33)-(AR33+AS33+AT33+AU33))/($F33-4),0),0),"")</f>
        <v/>
      </c>
      <c r="AW33" s="12" t="n">
        <f aca="false">IF($A33="","",IF($G33=1,(AR33+AS33+AT33+AU33+AV33),AW32))</f>
        <v>42</v>
      </c>
      <c r="AX33" s="12" t="n">
        <f aca="false">IF($A33="","",IF($G33=1,IF('Base de Dados'!$B$7="Sim",(AM33+AN33+AO33+AP33+AQ33),MAX(AW33,(AM33+AN33+AO33+AP33+AQ33))),AX32))</f>
        <v>60</v>
      </c>
      <c r="AY33" s="12" t="n">
        <f aca="false">IF($A33="","",IF($G33=1,AW33,AY32-N(AZ32)))</f>
        <v>25</v>
      </c>
      <c r="AZ33" s="12" t="n">
        <f aca="false">IF($C33=1,ROUND(AY33/($E33-$D33+1),0),"")</f>
        <v>8</v>
      </c>
      <c r="BA33" s="12" t="n">
        <f aca="false">IF($C33&lt;&gt;1,"",IF('Base de Dados'!$B$7="Sim",IF(SUMIFS(AI$5:AI32,$B$5:$B32,$B33)&lt;SUMIFS(AZ$5:AZ32,$B$5:$B32,$B33)-0.000000001,ROUNDUP(ROUND(MAX(AX33-SUMIFS(AI$5:AI32,$B$5:$B32,$B33),0)/($E33-$D33+1),6),0),ROUND(MAX(AX33-SUMIFS(AI$5:AI32,$B$5:$B32,$B33),0)/($E33-$D33+1),0)),MAX(AZ33,IF(SUMIFS(AI$5:AI32,$B$5:$B32,$B33)&lt;SUMIFS(AZ$5:AZ32,$B$5:$B32,$B33)-0.000000001,ROUNDUP(ROUND(MAX(AX33-SUMIFS(AI$5:AI32,$B$5:$B32,$B33),0)/($E33-$D33+1),6),0),ROUND(MAX(AX33-SUMIFS(AI$5:AI32,$B$5:$B32,$B33),0)/($E33-$D33+1),0)))))</f>
        <v>12</v>
      </c>
      <c r="BB33" s="12" t="n">
        <f aca="false">IF($A33="",0,IF('Meta Diária'!M33&lt;&gt;"",'Meta Diária'!M33,IF(AND($C33=1,$A33&gt;='Base de Dados'!$B$6),BT33,0)))</f>
        <v>7</v>
      </c>
      <c r="BC33" s="12" t="n">
        <f aca="false">BC32+BB32</f>
        <v>83</v>
      </c>
      <c r="BD33" s="41" t="str">
        <f aca="false">IF($G33=1,IF(BC33&lt;BE33-0.000000001,1,0),"")</f>
        <v/>
      </c>
      <c r="BE33" s="12" t="str">
        <f aca="false">IF($G33=1,SUMIFS(BP$5:BP32,$G$5:$G32,1),"")</f>
        <v/>
      </c>
      <c r="BF33" s="12" t="str">
        <f aca="false">IF($G33=1,IF(AND($E33&gt;=1,($F33-0)&gt;0),IF(BD33=1,ROUNDUP(ROUND((MAX($BB$3-BC33,0)-(0))/($F33-0),6),0),ROUND((MAX($BB$3-BC33,0)-(0))/($F33-0),0)),0),"")</f>
        <v/>
      </c>
      <c r="BG33" s="12" t="str">
        <f aca="false">IF($G33=1,IF(AND($E33&gt;=2,($F33-1)&gt;0),IF(BD33=1,ROUNDUP(ROUND((MAX($BB$3-BC33,0)-(BF33))/($F33-1),6),0),ROUND((MAX($BB$3-BC33,0)-(BF33))/($F33-1),0)),0),"")</f>
        <v/>
      </c>
      <c r="BH33" s="12" t="str">
        <f aca="false">IF($G33=1,IF(AND($E33&gt;=3,($F33-2)&gt;0),IF(BD33=1,ROUNDUP(ROUND((MAX($BB$3-BC33,0)-(BF33+BG33))/($F33-2),6),0),ROUND((MAX($BB$3-BC33,0)-(BF33+BG33))/($F33-2),0)),0),"")</f>
        <v/>
      </c>
      <c r="BI33" s="12" t="str">
        <f aca="false">IF($G33=1,IF(AND($E33&gt;=4,($F33-3)&gt;0),IF(BD33=1,ROUNDUP(ROUND((MAX($BB$3-BC33,0)-(BF33+BG33+BH33))/($F33-3),6),0),ROUND((MAX($BB$3-BC33,0)-(BF33+BG33+BH33))/($F33-3),0)),0),"")</f>
        <v/>
      </c>
      <c r="BJ33" s="12" t="str">
        <f aca="false">IF($G33=1,IF(AND($E33&gt;=5,($F33-4)&gt;0),IF(BD33=1,ROUNDUP(ROUND((MAX($BB$3-BC33,0)-(BF33+BG33+BH33+BI33))/($F33-4),6),0),ROUND((MAX($BB$3-BC33,0)-(BF33+BG33+BH33+BI33))/($F33-4),0)),0),"")</f>
        <v/>
      </c>
      <c r="BK33" s="12" t="str">
        <f aca="false">IF($G33=1,IF(AND($E33&gt;=1,($F33-0)&gt;0),ROUND((($BB$3-BE33)-(0))/($F33-0),0),0),"")</f>
        <v/>
      </c>
      <c r="BL33" s="12" t="str">
        <f aca="false">IF($G33=1,IF(AND($E33&gt;=2,($F33-1)&gt;0),ROUND((($BB$3-BE33)-(BK33))/($F33-1),0),0),"")</f>
        <v/>
      </c>
      <c r="BM33" s="12" t="str">
        <f aca="false">IF($G33=1,IF(AND($E33&gt;=3,($F33-2)&gt;0),ROUND((($BB$3-BE33)-(BK33+BL33))/($F33-2),0),0),"")</f>
        <v/>
      </c>
      <c r="BN33" s="12" t="str">
        <f aca="false">IF($G33=1,IF(AND($E33&gt;=4,($F33-3)&gt;0),ROUND((($BB$3-BE33)-(BK33+BL33+BM33))/($F33-3),0),0),"")</f>
        <v/>
      </c>
      <c r="BO33" s="12" t="str">
        <f aca="false">IF($G33=1,IF(AND($E33&gt;=5,($F33-4)&gt;0),ROUND((($BB$3-BE33)-(BK33+BL33+BM33+BN33))/($F33-4),0),0),"")</f>
        <v/>
      </c>
      <c r="BP33" s="12" t="n">
        <f aca="false">IF($A33="","",IF($G33=1,(BK33+BL33+BM33+BN33+BO33),BP32))</f>
        <v>24</v>
      </c>
      <c r="BQ33" s="12" t="n">
        <f aca="false">IF($A33="","",IF($G33=1,IF('Base de Dados'!$B$7="Sim",(BF33+BG33+BH33+BI33+BJ33),MAX(BP33,(BF33+BG33+BH33+BI33+BJ33))),BQ32))</f>
        <v>35</v>
      </c>
      <c r="BR33" s="12" t="n">
        <f aca="false">IF($A33="","",IF($G33=1,BP33,BR32-N(BS32)))</f>
        <v>14</v>
      </c>
      <c r="BS33" s="12" t="n">
        <f aca="false">IF($C33=1,ROUND(BR33/($E33-$D33+1),0),"")</f>
        <v>5</v>
      </c>
      <c r="BT33" s="12" t="n">
        <f aca="false">IF($C33&lt;&gt;1,"",IF('Base de Dados'!$B$7="Sim",IF(SUMIFS(BB$5:BB32,$B$5:$B32,$B33)&lt;SUMIFS(BS$5:BS32,$B$5:$B32,$B33)-0.000000001,ROUNDUP(ROUND(MAX(BQ33-SUMIFS(BB$5:BB32,$B$5:$B32,$B33),0)/($E33-$D33+1),6),0),ROUND(MAX(BQ33-SUMIFS(BB$5:BB32,$B$5:$B32,$B33),0)/($E33-$D33+1),0)),MAX(BS33,IF(SUMIFS(BB$5:BB32,$B$5:$B32,$B33)&lt;SUMIFS(BS$5:BS32,$B$5:$B32,$B33)-0.000000001,ROUNDUP(ROUND(MAX(BQ33-SUMIFS(BB$5:BB32,$B$5:$B32,$B33),0)/($E33-$D33+1),6),0),ROUND(MAX(BQ33-SUMIFS(BB$5:BB32,$B$5:$B32,$B33),0)/($E33-$D33+1),0)))))</f>
        <v>7</v>
      </c>
      <c r="BU33" s="12" t="n">
        <f aca="false">IF($A33="",0,IF('Meta Diária'!O33&lt;&gt;"",'Meta Diária'!O33,IF(AND($C33=1,$A33&gt;='Base de Dados'!$B$6),CM33,0)))</f>
        <v>2</v>
      </c>
      <c r="BV33" s="12" t="n">
        <f aca="false">BV32+BU32</f>
        <v>26</v>
      </c>
      <c r="BW33" s="41" t="str">
        <f aca="false">IF($G33=1,IF(BV33&lt;BX33-0.000000001,1,0),"")</f>
        <v/>
      </c>
      <c r="BX33" s="12" t="str">
        <f aca="false">IF($G33=1,SUMIFS(CI$5:CI32,$G$5:$G32,1),"")</f>
        <v/>
      </c>
      <c r="BY33" s="12" t="str">
        <f aca="false">IF($G33=1,IF(AND($E33&gt;=1,($F33-0)&gt;0),IF(BW33=1,ROUNDUP(ROUND((MAX($BU$3-BV33,0)-(0))/($F33-0),6),0),ROUND((MAX($BU$3-BV33,0)-(0))/($F33-0),0)),0),"")</f>
        <v/>
      </c>
      <c r="BZ33" s="12" t="str">
        <f aca="false">IF($G33=1,IF(AND($E33&gt;=2,($F33-1)&gt;0),IF(BW33=1,ROUNDUP(ROUND((MAX($BU$3-BV33,0)-(BY33))/($F33-1),6),0),ROUND((MAX($BU$3-BV33,0)-(BY33))/($F33-1),0)),0),"")</f>
        <v/>
      </c>
      <c r="CA33" s="12" t="str">
        <f aca="false">IF($G33=1,IF(AND($E33&gt;=3,($F33-2)&gt;0),IF(BW33=1,ROUNDUP(ROUND((MAX($BU$3-BV33,0)-(BY33+BZ33))/($F33-2),6),0),ROUND((MAX($BU$3-BV33,0)-(BY33+BZ33))/($F33-2),0)),0),"")</f>
        <v/>
      </c>
      <c r="CB33" s="12" t="str">
        <f aca="false">IF($G33=1,IF(AND($E33&gt;=4,($F33-3)&gt;0),IF(BW33=1,ROUNDUP(ROUND((MAX($BU$3-BV33,0)-(BY33+BZ33+CA33))/($F33-3),6),0),ROUND((MAX($BU$3-BV33,0)-(BY33+BZ33+CA33))/($F33-3),0)),0),"")</f>
        <v/>
      </c>
      <c r="CC33" s="12" t="str">
        <f aca="false">IF($G33=1,IF(AND($E33&gt;=5,($F33-4)&gt;0),IF(BW33=1,ROUNDUP(ROUND((MAX($BU$3-BV33,0)-(BY33+BZ33+CA33+CB33))/($F33-4),6),0),ROUND((MAX($BU$3-BV33,0)-(BY33+BZ33+CA33+CB33))/($F33-4),0)),0),"")</f>
        <v/>
      </c>
      <c r="CD33" s="12" t="str">
        <f aca="false">IF($G33=1,IF(AND($E33&gt;=1,($F33-0)&gt;0),ROUND((($BU$3-BX33)-(0))/($F33-0),0),0),"")</f>
        <v/>
      </c>
      <c r="CE33" s="12" t="str">
        <f aca="false">IF($G33=1,IF(AND($E33&gt;=2,($F33-1)&gt;0),ROUND((($BU$3-BX33)-(CD33))/($F33-1),0),0),"")</f>
        <v/>
      </c>
      <c r="CF33" s="12" t="str">
        <f aca="false">IF($G33=1,IF(AND($E33&gt;=3,($F33-2)&gt;0),ROUND((($BU$3-BX33)-(CD33+CE33))/($F33-2),0),0),"")</f>
        <v/>
      </c>
      <c r="CG33" s="12" t="str">
        <f aca="false">IF($G33=1,IF(AND($E33&gt;=4,($F33-3)&gt;0),ROUND((($BU$3-BX33)-(CD33+CE33+CF33))/($F33-3),0),0),"")</f>
        <v/>
      </c>
      <c r="CH33" s="12" t="str">
        <f aca="false">IF($G33=1,IF(AND($E33&gt;=5,($F33-4)&gt;0),ROUND((($BU$3-BX33)-(CD33+CE33+CF33+CG33))/($F33-4),0),0),"")</f>
        <v/>
      </c>
      <c r="CI33" s="12" t="n">
        <f aca="false">IF($A33="","",IF($G33=1,(CD33+CE33+CF33+CG33+CH33),CI32))</f>
        <v>7</v>
      </c>
      <c r="CJ33" s="12" t="n">
        <f aca="false">IF($A33="","",IF($G33=1,IF('Base de Dados'!$B$7="Sim",(BY33+BZ33+CA33+CB33+CC33),MAX(CI33,(BY33+BZ33+CA33+CB33+CC33))),CJ32))</f>
        <v>10</v>
      </c>
      <c r="CK33" s="12" t="n">
        <f aca="false">IF($A33="","",IF($G33=1,CI33,CK32-N(CL32)))</f>
        <v>4</v>
      </c>
      <c r="CL33" s="12" t="n">
        <f aca="false">IF($C33=1,ROUND(CK33/($E33-$D33+1),0),"")</f>
        <v>1</v>
      </c>
      <c r="CM33" s="12" t="n">
        <f aca="false">IF($C33&lt;&gt;1,"",IF('Base de Dados'!$B$7="Sim",IF(SUMIFS(BU$5:BU32,$B$5:$B32,$B33)&lt;SUMIFS(CL$5:CL32,$B$5:$B32,$B33)-0.000000001,ROUNDUP(ROUND(MAX(CJ33-SUMIFS(BU$5:BU32,$B$5:$B32,$B33),0)/($E33-$D33+1),6),0),ROUND(MAX(CJ33-SUMIFS(BU$5:BU32,$B$5:$B32,$B33),0)/($E33-$D33+1),0)),MAX(CL33,IF(SUMIFS(BU$5:BU32,$B$5:$B32,$B33)&lt;SUMIFS(CL$5:CL32,$B$5:$B32,$B33)-0.000000001,ROUNDUP(ROUND(MAX(CJ33-SUMIFS(BU$5:BU32,$B$5:$B32,$B33),0)/($E33-$D33+1),6),0),ROUND(MAX(CJ33-SUMIFS(BU$5:BU32,$B$5:$B32,$B33),0)/($E33-$D33+1),0)))))</f>
        <v>2</v>
      </c>
    </row>
    <row r="34" customFormat="false" ht="15" hidden="false" customHeight="false" outlineLevel="0" collapsed="false">
      <c r="A34" s="7" t="n">
        <f aca="false">IF($E$2+28&lt;=EOMONTH($E$2,0),$E$2+28,"")</f>
        <v>46324</v>
      </c>
      <c r="B34" s="41" t="n">
        <f aca="false">IF(A34="","",IF(COUNTIFS(H$6:H$36,H34,C$6:C$36,1)=0,"",IF(H34=H33,B33,1+MAX(B$5:B33))))</f>
        <v>5</v>
      </c>
      <c r="C34" s="41" t="n">
        <f aca="false">IF(A34="",0,IF(AND(WEEKDAY(A34,2)&lt;=5,COUNTIF(Folgas!$A$5:$A$300,A34)=0),1,0))</f>
        <v>1</v>
      </c>
      <c r="D34" s="41" t="n">
        <f aca="false">IF(C34=1,COUNTIFS(B$6:B34,B34,C$6:C34,1),0)</f>
        <v>4</v>
      </c>
      <c r="E34" s="41" t="n">
        <f aca="false">IF(OR(A34="",B34=""),0,COUNTIFS(B$6:B$36,B34,C$6:C$36,1))</f>
        <v>5</v>
      </c>
      <c r="F34" s="41" t="n">
        <f aca="false">IF(OR(A34="",B34=""),0,COUNTIFS(B$6:B$36,"&gt;="&amp;B34,C$6:C$36,1))</f>
        <v>5</v>
      </c>
      <c r="G34" s="41" t="n">
        <f aca="false">IF(OR(A34="",B34=""),0,IF(B34=B33,0,1))</f>
        <v>0</v>
      </c>
      <c r="H34" s="41" t="n">
        <f aca="false">IF(A34="","",INT((A34-$E$3)/7)+1)</f>
        <v>5</v>
      </c>
      <c r="J34" s="13" t="n">
        <f aca="false">IF($A34="",0,IF('Meta Diária'!G34&lt;&gt;"",'Meta Diária'!G34,IF(AND($C34=1,$A34&gt;='Base de Dados'!$B$6),O34,0)))</f>
        <v>2142.85714285714</v>
      </c>
      <c r="K34" s="13" t="n">
        <f aca="false">K33+J33</f>
        <v>25714.2857142857</v>
      </c>
      <c r="L34" s="13" t="n">
        <f aca="false">IF($A34="","",IF($G34=1,IF($B$2=0,0,$J$3*$E34/$B$2),L33))</f>
        <v>7142.85714285714</v>
      </c>
      <c r="M34" s="13" t="n">
        <f aca="false">IF($A34="","",IF($G34=1,IF('Base de Dados'!$B$7="Sim",IF($F34=0,0,MAX($J$3-K34,0)*$E34/$F34),MAX(L34,IF($F34=0,0,MAX($J$3-K34,0)*$E34/$F34))),M33))</f>
        <v>10714.2857142857</v>
      </c>
      <c r="N34" s="13" t="n">
        <f aca="false">IF($C34=1,M34/$E34,"")</f>
        <v>2142.85714285714</v>
      </c>
      <c r="O34" s="13" t="n">
        <f aca="false">IF($C34&lt;&gt;1,"",IF('Base de Dados'!$B$7="Sim",MAX(M34-SUMIFS(J$5:J33,$B$5:$B33,$B34),0)/($E34-$D34+1),MAX(N34,MAX(M34-SUMIFS(J$5:J33,$B$5:$B33,$B34),0)/($E34-$D34+1))))</f>
        <v>2142.85714285714</v>
      </c>
      <c r="P34" s="12" t="n">
        <f aca="false">IF($A34="",0,IF('Meta Diária'!I34&lt;&gt;"",'Meta Diária'!I34,IF(AND($C34=1,$A34&gt;='Base de Dados'!$B$6),AH34,0)))</f>
        <v>61</v>
      </c>
      <c r="Q34" s="12" t="n">
        <f aca="false">Q33+P33</f>
        <v>736</v>
      </c>
      <c r="R34" s="41" t="str">
        <f aca="false">IF($G34=1,IF(Q34&lt;S34-0.000000001,1,0),"")</f>
        <v/>
      </c>
      <c r="S34" s="12" t="str">
        <f aca="false">IF($G34=1,SUMIFS(AD$5:AD33,$G$5:$G33,1),"")</f>
        <v/>
      </c>
      <c r="T34" s="12" t="str">
        <f aca="false">IF($G34=1,IF(AND($E34&gt;=1,($F34-0)&gt;0),IF(R34=1,ROUNDUP(ROUND((MAX($P$3-Q34,0)-(0))/($F34-0),6),0),ROUND((MAX($P$3-Q34,0)-(0))/($F34-0),0)),0),"")</f>
        <v/>
      </c>
      <c r="U34" s="12" t="str">
        <f aca="false">IF($G34=1,IF(AND($E34&gt;=2,($F34-1)&gt;0),IF(R34=1,ROUNDUP(ROUND((MAX($P$3-Q34,0)-(T34))/($F34-1),6),0),ROUND((MAX($P$3-Q34,0)-(T34))/($F34-1),0)),0),"")</f>
        <v/>
      </c>
      <c r="V34" s="12" t="str">
        <f aca="false">IF($G34=1,IF(AND($E34&gt;=3,($F34-2)&gt;0),IF(R34=1,ROUNDUP(ROUND((MAX($P$3-Q34,0)-(T34+U34))/($F34-2),6),0),ROUND((MAX($P$3-Q34,0)-(T34+U34))/($F34-2),0)),0),"")</f>
        <v/>
      </c>
      <c r="W34" s="12" t="str">
        <f aca="false">IF($G34=1,IF(AND($E34&gt;=4,($F34-3)&gt;0),IF(R34=1,ROUNDUP(ROUND((MAX($P$3-Q34,0)-(T34+U34+V34))/($F34-3),6),0),ROUND((MAX($P$3-Q34,0)-(T34+U34+V34))/($F34-3),0)),0),"")</f>
        <v/>
      </c>
      <c r="X34" s="12" t="str">
        <f aca="false">IF($G34=1,IF(AND($E34&gt;=5,($F34-4)&gt;0),IF(R34=1,ROUNDUP(ROUND((MAX($P$3-Q34,0)-(T34+U34+V34+W34))/($F34-4),6),0),ROUND((MAX($P$3-Q34,0)-(T34+U34+V34+W34))/($F34-4),0)),0),"")</f>
        <v/>
      </c>
      <c r="Y34" s="12" t="str">
        <f aca="false">IF($G34=1,IF(AND($E34&gt;=1,($F34-0)&gt;0),ROUND((($P$3-S34)-(0))/($F34-0),0),0),"")</f>
        <v/>
      </c>
      <c r="Z34" s="12" t="str">
        <f aca="false">IF($G34=1,IF(AND($E34&gt;=2,($F34-1)&gt;0),ROUND((($P$3-S34)-(Y34))/($F34-1),0),0),"")</f>
        <v/>
      </c>
      <c r="AA34" s="12" t="str">
        <f aca="false">IF($G34=1,IF(AND($E34&gt;=3,($F34-2)&gt;0),ROUND((($P$3-S34)-(Y34+Z34))/($F34-2),0),0),"")</f>
        <v/>
      </c>
      <c r="AB34" s="12" t="str">
        <f aca="false">IF($G34=1,IF(AND($E34&gt;=4,($F34-3)&gt;0),ROUND((($P$3-S34)-(Y34+Z34+AA34))/($F34-3),0),0),"")</f>
        <v/>
      </c>
      <c r="AC34" s="12" t="str">
        <f aca="false">IF($G34=1,IF(AND($E34&gt;=5,($F34-4)&gt;0),ROUND((($P$3-S34)-(Y34+Z34+AA34+AB34))/($F34-4),0),0),"")</f>
        <v/>
      </c>
      <c r="AD34" s="12" t="n">
        <f aca="false">IF($A34="","",IF($G34=1,(Y34+Z34+AA34+AB34+AC34),AD33))</f>
        <v>202</v>
      </c>
      <c r="AE34" s="12" t="n">
        <f aca="false">IF($A34="","",IF($G34=1,IF('Base de Dados'!$B$7="Sim",(T34+U34+V34+W34+X34),MAX(AD34,(T34+U34+V34+W34+X34))),AE33))</f>
        <v>305</v>
      </c>
      <c r="AF34" s="12" t="n">
        <f aca="false">IF($A34="","",IF($G34=1,AD34,AF33-N(AG33)))</f>
        <v>81</v>
      </c>
      <c r="AG34" s="12" t="n">
        <f aca="false">IF($C34=1,ROUND(AF34/($E34-$D34+1),0),"")</f>
        <v>41</v>
      </c>
      <c r="AH34" s="12" t="n">
        <f aca="false">IF($C34&lt;&gt;1,"",IF('Base de Dados'!$B$7="Sim",IF(SUMIFS(P$5:P33,$B$5:$B33,$B34)&lt;SUMIFS(AG$5:AG33,$B$5:$B33,$B34)-0.000000001,ROUNDUP(ROUND(MAX(AE34-SUMIFS(P$5:P33,$B$5:$B33,$B34),0)/($E34-$D34+1),6),0),ROUND(MAX(AE34-SUMIFS(P$5:P33,$B$5:$B33,$B34),0)/($E34-$D34+1),0)),MAX(AG34,IF(SUMIFS(P$5:P33,$B$5:$B33,$B34)&lt;SUMIFS(AG$5:AG33,$B$5:$B33,$B34)-0.000000001,ROUNDUP(ROUND(MAX(AE34-SUMIFS(P$5:P33,$B$5:$B33,$B34),0)/($E34-$D34+1),6),0),ROUND(MAX(AE34-SUMIFS(P$5:P33,$B$5:$B33,$B34),0)/($E34-$D34+1),0)))))</f>
        <v>61</v>
      </c>
      <c r="AI34" s="12" t="n">
        <f aca="false">IF($A34="",0,IF('Meta Diária'!K34&lt;&gt;"",'Meta Diária'!K34,IF(AND($C34=1,$A34&gt;='Base de Dados'!$B$6),BA34,0)))</f>
        <v>12</v>
      </c>
      <c r="AJ34" s="12" t="n">
        <f aca="false">AJ33+AI33</f>
        <v>148</v>
      </c>
      <c r="AK34" s="41" t="str">
        <f aca="false">IF($G34=1,IF(AJ34&lt;AL34-0.000000001,1,0),"")</f>
        <v/>
      </c>
      <c r="AL34" s="12" t="str">
        <f aca="false">IF($G34=1,SUMIFS(AW$5:AW33,$G$5:$G33,1),"")</f>
        <v/>
      </c>
      <c r="AM34" s="12" t="str">
        <f aca="false">IF($G34=1,IF(AND($E34&gt;=1,($F34-0)&gt;0),IF(AK34=1,ROUNDUP(ROUND((MAX($AI$3-AJ34,0)-(0))/($F34-0),6),0),ROUND((MAX($AI$3-AJ34,0)-(0))/($F34-0),0)),0),"")</f>
        <v/>
      </c>
      <c r="AN34" s="12" t="str">
        <f aca="false">IF($G34=1,IF(AND($E34&gt;=2,($F34-1)&gt;0),IF(AK34=1,ROUNDUP(ROUND((MAX($AI$3-AJ34,0)-(AM34))/($F34-1),6),0),ROUND((MAX($AI$3-AJ34,0)-(AM34))/($F34-1),0)),0),"")</f>
        <v/>
      </c>
      <c r="AO34" s="12" t="str">
        <f aca="false">IF($G34=1,IF(AND($E34&gt;=3,($F34-2)&gt;0),IF(AK34=1,ROUNDUP(ROUND((MAX($AI$3-AJ34,0)-(AM34+AN34))/($F34-2),6),0),ROUND((MAX($AI$3-AJ34,0)-(AM34+AN34))/($F34-2),0)),0),"")</f>
        <v/>
      </c>
      <c r="AP34" s="12" t="str">
        <f aca="false">IF($G34=1,IF(AND($E34&gt;=4,($F34-3)&gt;0),IF(AK34=1,ROUNDUP(ROUND((MAX($AI$3-AJ34,0)-(AM34+AN34+AO34))/($F34-3),6),0),ROUND((MAX($AI$3-AJ34,0)-(AM34+AN34+AO34))/($F34-3),0)),0),"")</f>
        <v/>
      </c>
      <c r="AQ34" s="12" t="str">
        <f aca="false">IF($G34=1,IF(AND($E34&gt;=5,($F34-4)&gt;0),IF(AK34=1,ROUNDUP(ROUND((MAX($AI$3-AJ34,0)-(AM34+AN34+AO34+AP34))/($F34-4),6),0),ROUND((MAX($AI$3-AJ34,0)-(AM34+AN34+AO34+AP34))/($F34-4),0)),0),"")</f>
        <v/>
      </c>
      <c r="AR34" s="12" t="str">
        <f aca="false">IF($G34=1,IF(AND($E34&gt;=1,($F34-0)&gt;0),ROUND((($AI$3-AL34)-(0))/($F34-0),0),0),"")</f>
        <v/>
      </c>
      <c r="AS34" s="12" t="str">
        <f aca="false">IF($G34=1,IF(AND($E34&gt;=2,($F34-1)&gt;0),ROUND((($AI$3-AL34)-(AR34))/($F34-1),0),0),"")</f>
        <v/>
      </c>
      <c r="AT34" s="12" t="str">
        <f aca="false">IF($G34=1,IF(AND($E34&gt;=3,($F34-2)&gt;0),ROUND((($AI$3-AL34)-(AR34+AS34))/($F34-2),0),0),"")</f>
        <v/>
      </c>
      <c r="AU34" s="12" t="str">
        <f aca="false">IF($G34=1,IF(AND($E34&gt;=4,($F34-3)&gt;0),ROUND((($AI$3-AL34)-(AR34+AS34+AT34))/($F34-3),0),0),"")</f>
        <v/>
      </c>
      <c r="AV34" s="12" t="str">
        <f aca="false">IF($G34=1,IF(AND($E34&gt;=5,($F34-4)&gt;0),ROUND((($AI$3-AL34)-(AR34+AS34+AT34+AU34))/($F34-4),0),0),"")</f>
        <v/>
      </c>
      <c r="AW34" s="12" t="n">
        <f aca="false">IF($A34="","",IF($G34=1,(AR34+AS34+AT34+AU34+AV34),AW33))</f>
        <v>42</v>
      </c>
      <c r="AX34" s="12" t="n">
        <f aca="false">IF($A34="","",IF($G34=1,IF('Base de Dados'!$B$7="Sim",(AM34+AN34+AO34+AP34+AQ34),MAX(AW34,(AM34+AN34+AO34+AP34+AQ34))),AX33))</f>
        <v>60</v>
      </c>
      <c r="AY34" s="12" t="n">
        <f aca="false">IF($A34="","",IF($G34=1,AW34,AY33-N(AZ33)))</f>
        <v>17</v>
      </c>
      <c r="AZ34" s="12" t="n">
        <f aca="false">IF($C34=1,ROUND(AY34/($E34-$D34+1),0),"")</f>
        <v>9</v>
      </c>
      <c r="BA34" s="12" t="n">
        <f aca="false">IF($C34&lt;&gt;1,"",IF('Base de Dados'!$B$7="Sim",IF(SUMIFS(AI$5:AI33,$B$5:$B33,$B34)&lt;SUMIFS(AZ$5:AZ33,$B$5:$B33,$B34)-0.000000001,ROUNDUP(ROUND(MAX(AX34-SUMIFS(AI$5:AI33,$B$5:$B33,$B34),0)/($E34-$D34+1),6),0),ROUND(MAX(AX34-SUMIFS(AI$5:AI33,$B$5:$B33,$B34),0)/($E34-$D34+1),0)),MAX(AZ34,IF(SUMIFS(AI$5:AI33,$B$5:$B33,$B34)&lt;SUMIFS(AZ$5:AZ33,$B$5:$B33,$B34)-0.000000001,ROUNDUP(ROUND(MAX(AX34-SUMIFS(AI$5:AI33,$B$5:$B33,$B34),0)/($E34-$D34+1),6),0),ROUND(MAX(AX34-SUMIFS(AI$5:AI33,$B$5:$B33,$B34),0)/($E34-$D34+1),0)))))</f>
        <v>12</v>
      </c>
      <c r="BB34" s="12" t="n">
        <f aca="false">IF($A34="",0,IF('Meta Diária'!M34&lt;&gt;"",'Meta Diária'!M34,IF(AND($C34=1,$A34&gt;='Base de Dados'!$B$6),BT34,0)))</f>
        <v>7</v>
      </c>
      <c r="BC34" s="12" t="n">
        <f aca="false">BC33+BB33</f>
        <v>90</v>
      </c>
      <c r="BD34" s="41" t="str">
        <f aca="false">IF($G34=1,IF(BC34&lt;BE34-0.000000001,1,0),"")</f>
        <v/>
      </c>
      <c r="BE34" s="12" t="str">
        <f aca="false">IF($G34=1,SUMIFS(BP$5:BP33,$G$5:$G33,1),"")</f>
        <v/>
      </c>
      <c r="BF34" s="12" t="str">
        <f aca="false">IF($G34=1,IF(AND($E34&gt;=1,($F34-0)&gt;0),IF(BD34=1,ROUNDUP(ROUND((MAX($BB$3-BC34,0)-(0))/($F34-0),6),0),ROUND((MAX($BB$3-BC34,0)-(0))/($F34-0),0)),0),"")</f>
        <v/>
      </c>
      <c r="BG34" s="12" t="str">
        <f aca="false">IF($G34=1,IF(AND($E34&gt;=2,($F34-1)&gt;0),IF(BD34=1,ROUNDUP(ROUND((MAX($BB$3-BC34,0)-(BF34))/($F34-1),6),0),ROUND((MAX($BB$3-BC34,0)-(BF34))/($F34-1),0)),0),"")</f>
        <v/>
      </c>
      <c r="BH34" s="12" t="str">
        <f aca="false">IF($G34=1,IF(AND($E34&gt;=3,($F34-2)&gt;0),IF(BD34=1,ROUNDUP(ROUND((MAX($BB$3-BC34,0)-(BF34+BG34))/($F34-2),6),0),ROUND((MAX($BB$3-BC34,0)-(BF34+BG34))/($F34-2),0)),0),"")</f>
        <v/>
      </c>
      <c r="BI34" s="12" t="str">
        <f aca="false">IF($G34=1,IF(AND($E34&gt;=4,($F34-3)&gt;0),IF(BD34=1,ROUNDUP(ROUND((MAX($BB$3-BC34,0)-(BF34+BG34+BH34))/($F34-3),6),0),ROUND((MAX($BB$3-BC34,0)-(BF34+BG34+BH34))/($F34-3),0)),0),"")</f>
        <v/>
      </c>
      <c r="BJ34" s="12" t="str">
        <f aca="false">IF($G34=1,IF(AND($E34&gt;=5,($F34-4)&gt;0),IF(BD34=1,ROUNDUP(ROUND((MAX($BB$3-BC34,0)-(BF34+BG34+BH34+BI34))/($F34-4),6),0),ROUND((MAX($BB$3-BC34,0)-(BF34+BG34+BH34+BI34))/($F34-4),0)),0),"")</f>
        <v/>
      </c>
      <c r="BK34" s="12" t="str">
        <f aca="false">IF($G34=1,IF(AND($E34&gt;=1,($F34-0)&gt;0),ROUND((($BB$3-BE34)-(0))/($F34-0),0),0),"")</f>
        <v/>
      </c>
      <c r="BL34" s="12" t="str">
        <f aca="false">IF($G34=1,IF(AND($E34&gt;=2,($F34-1)&gt;0),ROUND((($BB$3-BE34)-(BK34))/($F34-1),0),0),"")</f>
        <v/>
      </c>
      <c r="BM34" s="12" t="str">
        <f aca="false">IF($G34=1,IF(AND($E34&gt;=3,($F34-2)&gt;0),ROUND((($BB$3-BE34)-(BK34+BL34))/($F34-2),0),0),"")</f>
        <v/>
      </c>
      <c r="BN34" s="12" t="str">
        <f aca="false">IF($G34=1,IF(AND($E34&gt;=4,($F34-3)&gt;0),ROUND((($BB$3-BE34)-(BK34+BL34+BM34))/($F34-3),0),0),"")</f>
        <v/>
      </c>
      <c r="BO34" s="12" t="str">
        <f aca="false">IF($G34=1,IF(AND($E34&gt;=5,($F34-4)&gt;0),ROUND((($BB$3-BE34)-(BK34+BL34+BM34+BN34))/($F34-4),0),0),"")</f>
        <v/>
      </c>
      <c r="BP34" s="12" t="n">
        <f aca="false">IF($A34="","",IF($G34=1,(BK34+BL34+BM34+BN34+BO34),BP33))</f>
        <v>24</v>
      </c>
      <c r="BQ34" s="12" t="n">
        <f aca="false">IF($A34="","",IF($G34=1,IF('Base de Dados'!$B$7="Sim",(BF34+BG34+BH34+BI34+BJ34),MAX(BP34,(BF34+BG34+BH34+BI34+BJ34))),BQ33))</f>
        <v>35</v>
      </c>
      <c r="BR34" s="12" t="n">
        <f aca="false">IF($A34="","",IF($G34=1,BP34,BR33-N(BS33)))</f>
        <v>9</v>
      </c>
      <c r="BS34" s="12" t="n">
        <f aca="false">IF($C34=1,ROUND(BR34/($E34-$D34+1),0),"")</f>
        <v>5</v>
      </c>
      <c r="BT34" s="12" t="n">
        <f aca="false">IF($C34&lt;&gt;1,"",IF('Base de Dados'!$B$7="Sim",IF(SUMIFS(BB$5:BB33,$B$5:$B33,$B34)&lt;SUMIFS(BS$5:BS33,$B$5:$B33,$B34)-0.000000001,ROUNDUP(ROUND(MAX(BQ34-SUMIFS(BB$5:BB33,$B$5:$B33,$B34),0)/($E34-$D34+1),6),0),ROUND(MAX(BQ34-SUMIFS(BB$5:BB33,$B$5:$B33,$B34),0)/($E34-$D34+1),0)),MAX(BS34,IF(SUMIFS(BB$5:BB33,$B$5:$B33,$B34)&lt;SUMIFS(BS$5:BS33,$B$5:$B33,$B34)-0.000000001,ROUNDUP(ROUND(MAX(BQ34-SUMIFS(BB$5:BB33,$B$5:$B33,$B34),0)/($E34-$D34+1),6),0),ROUND(MAX(BQ34-SUMIFS(BB$5:BB33,$B$5:$B33,$B34),0)/($E34-$D34+1),0)))))</f>
        <v>7</v>
      </c>
      <c r="BU34" s="12" t="n">
        <f aca="false">IF($A34="",0,IF('Meta Diária'!O34&lt;&gt;"",'Meta Diária'!O34,IF(AND($C34=1,$A34&gt;='Base de Dados'!$B$6),CM34,0)))</f>
        <v>2</v>
      </c>
      <c r="BV34" s="12" t="n">
        <f aca="false">BV33+BU33</f>
        <v>28</v>
      </c>
      <c r="BW34" s="41" t="str">
        <f aca="false">IF($G34=1,IF(BV34&lt;BX34-0.000000001,1,0),"")</f>
        <v/>
      </c>
      <c r="BX34" s="12" t="str">
        <f aca="false">IF($G34=1,SUMIFS(CI$5:CI33,$G$5:$G33,1),"")</f>
        <v/>
      </c>
      <c r="BY34" s="12" t="str">
        <f aca="false">IF($G34=1,IF(AND($E34&gt;=1,($F34-0)&gt;0),IF(BW34=1,ROUNDUP(ROUND((MAX($BU$3-BV34,0)-(0))/($F34-0),6),0),ROUND((MAX($BU$3-BV34,0)-(0))/($F34-0),0)),0),"")</f>
        <v/>
      </c>
      <c r="BZ34" s="12" t="str">
        <f aca="false">IF($G34=1,IF(AND($E34&gt;=2,($F34-1)&gt;0),IF(BW34=1,ROUNDUP(ROUND((MAX($BU$3-BV34,0)-(BY34))/($F34-1),6),0),ROUND((MAX($BU$3-BV34,0)-(BY34))/($F34-1),0)),0),"")</f>
        <v/>
      </c>
      <c r="CA34" s="12" t="str">
        <f aca="false">IF($G34=1,IF(AND($E34&gt;=3,($F34-2)&gt;0),IF(BW34=1,ROUNDUP(ROUND((MAX($BU$3-BV34,0)-(BY34+BZ34))/($F34-2),6),0),ROUND((MAX($BU$3-BV34,0)-(BY34+BZ34))/($F34-2),0)),0),"")</f>
        <v/>
      </c>
      <c r="CB34" s="12" t="str">
        <f aca="false">IF($G34=1,IF(AND($E34&gt;=4,($F34-3)&gt;0),IF(BW34=1,ROUNDUP(ROUND((MAX($BU$3-BV34,0)-(BY34+BZ34+CA34))/($F34-3),6),0),ROUND((MAX($BU$3-BV34,0)-(BY34+BZ34+CA34))/($F34-3),0)),0),"")</f>
        <v/>
      </c>
      <c r="CC34" s="12" t="str">
        <f aca="false">IF($G34=1,IF(AND($E34&gt;=5,($F34-4)&gt;0),IF(BW34=1,ROUNDUP(ROUND((MAX($BU$3-BV34,0)-(BY34+BZ34+CA34+CB34))/($F34-4),6),0),ROUND((MAX($BU$3-BV34,0)-(BY34+BZ34+CA34+CB34))/($F34-4),0)),0),"")</f>
        <v/>
      </c>
      <c r="CD34" s="12" t="str">
        <f aca="false">IF($G34=1,IF(AND($E34&gt;=1,($F34-0)&gt;0),ROUND((($BU$3-BX34)-(0))/($F34-0),0),0),"")</f>
        <v/>
      </c>
      <c r="CE34" s="12" t="str">
        <f aca="false">IF($G34=1,IF(AND($E34&gt;=2,($F34-1)&gt;0),ROUND((($BU$3-BX34)-(CD34))/($F34-1),0),0),"")</f>
        <v/>
      </c>
      <c r="CF34" s="12" t="str">
        <f aca="false">IF($G34=1,IF(AND($E34&gt;=3,($F34-2)&gt;0),ROUND((($BU$3-BX34)-(CD34+CE34))/($F34-2),0),0),"")</f>
        <v/>
      </c>
      <c r="CG34" s="12" t="str">
        <f aca="false">IF($G34=1,IF(AND($E34&gt;=4,($F34-3)&gt;0),ROUND((($BU$3-BX34)-(CD34+CE34+CF34))/($F34-3),0),0),"")</f>
        <v/>
      </c>
      <c r="CH34" s="12" t="str">
        <f aca="false">IF($G34=1,IF(AND($E34&gt;=5,($F34-4)&gt;0),ROUND((($BU$3-BX34)-(CD34+CE34+CF34+CG34))/($F34-4),0),0),"")</f>
        <v/>
      </c>
      <c r="CI34" s="12" t="n">
        <f aca="false">IF($A34="","",IF($G34=1,(CD34+CE34+CF34+CG34+CH34),CI33))</f>
        <v>7</v>
      </c>
      <c r="CJ34" s="12" t="n">
        <f aca="false">IF($A34="","",IF($G34=1,IF('Base de Dados'!$B$7="Sim",(BY34+BZ34+CA34+CB34+CC34),MAX(CI34,(BY34+BZ34+CA34+CB34+CC34))),CJ33))</f>
        <v>10</v>
      </c>
      <c r="CK34" s="12" t="n">
        <f aca="false">IF($A34="","",IF($G34=1,CI34,CK33-N(CL33)))</f>
        <v>3</v>
      </c>
      <c r="CL34" s="12" t="n">
        <f aca="false">IF($C34=1,ROUND(CK34/($E34-$D34+1),0),"")</f>
        <v>2</v>
      </c>
      <c r="CM34" s="12" t="n">
        <f aca="false">IF($C34&lt;&gt;1,"",IF('Base de Dados'!$B$7="Sim",IF(SUMIFS(BU$5:BU33,$B$5:$B33,$B34)&lt;SUMIFS(CL$5:CL33,$B$5:$B33,$B34)-0.000000001,ROUNDUP(ROUND(MAX(CJ34-SUMIFS(BU$5:BU33,$B$5:$B33,$B34),0)/($E34-$D34+1),6),0),ROUND(MAX(CJ34-SUMIFS(BU$5:BU33,$B$5:$B33,$B34),0)/($E34-$D34+1),0)),MAX(CL34,IF(SUMIFS(BU$5:BU33,$B$5:$B33,$B34)&lt;SUMIFS(CL$5:CL33,$B$5:$B33,$B34)-0.000000001,ROUNDUP(ROUND(MAX(CJ34-SUMIFS(BU$5:BU33,$B$5:$B33,$B34),0)/($E34-$D34+1),6),0),ROUND(MAX(CJ34-SUMIFS(BU$5:BU33,$B$5:$B33,$B34),0)/($E34-$D34+1),0)))))</f>
        <v>2</v>
      </c>
    </row>
    <row r="35" customFormat="false" ht="15" hidden="false" customHeight="false" outlineLevel="0" collapsed="false">
      <c r="A35" s="7" t="n">
        <f aca="false">IF($E$2+29&lt;=EOMONTH($E$2,0),$E$2+29,"")</f>
        <v>46325</v>
      </c>
      <c r="B35" s="41" t="n">
        <f aca="false">IF(A35="","",IF(COUNTIFS(H$6:H$36,H35,C$6:C$36,1)=0,"",IF(H35=H34,B34,1+MAX(B$5:B34))))</f>
        <v>5</v>
      </c>
      <c r="C35" s="41" t="n">
        <f aca="false">IF(A35="",0,IF(AND(WEEKDAY(A35,2)&lt;=5,COUNTIF(Folgas!$A$5:$A$300,A35)=0),1,0))</f>
        <v>1</v>
      </c>
      <c r="D35" s="41" t="n">
        <f aca="false">IF(C35=1,COUNTIFS(B$6:B35,B35,C$6:C35,1),0)</f>
        <v>5</v>
      </c>
      <c r="E35" s="41" t="n">
        <f aca="false">IF(OR(A35="",B35=""),0,COUNTIFS(B$6:B$36,B35,C$6:C$36,1))</f>
        <v>5</v>
      </c>
      <c r="F35" s="41" t="n">
        <f aca="false">IF(OR(A35="",B35=""),0,COUNTIFS(B$6:B$36,"&gt;="&amp;B35,C$6:C$36,1))</f>
        <v>5</v>
      </c>
      <c r="G35" s="41" t="n">
        <f aca="false">IF(OR(A35="",B35=""),0,IF(B35=B34,0,1))</f>
        <v>0</v>
      </c>
      <c r="H35" s="41" t="n">
        <f aca="false">IF(A35="","",INT((A35-$E$3)/7)+1)</f>
        <v>5</v>
      </c>
      <c r="J35" s="13" t="n">
        <f aca="false">IF($A35="",0,IF('Meta Diária'!G35&lt;&gt;"",'Meta Diária'!G35,IF(AND($C35=1,$A35&gt;='Base de Dados'!$B$6),O35,0)))</f>
        <v>2142.85714285714</v>
      </c>
      <c r="K35" s="13" t="n">
        <f aca="false">K34+J34</f>
        <v>27857.1428571429</v>
      </c>
      <c r="L35" s="13" t="n">
        <f aca="false">IF($A35="","",IF($G35=1,IF($B$2=0,0,$J$3*$E35/$B$2),L34))</f>
        <v>7142.85714285714</v>
      </c>
      <c r="M35" s="13" t="n">
        <f aca="false">IF($A35="","",IF($G35=1,IF('Base de Dados'!$B$7="Sim",IF($F35=0,0,MAX($J$3-K35,0)*$E35/$F35),MAX(L35,IF($F35=0,0,MAX($J$3-K35,0)*$E35/$F35))),M34))</f>
        <v>10714.2857142857</v>
      </c>
      <c r="N35" s="13" t="n">
        <f aca="false">IF($C35=1,M35/$E35,"")</f>
        <v>2142.85714285714</v>
      </c>
      <c r="O35" s="13" t="n">
        <f aca="false">IF($C35&lt;&gt;1,"",IF('Base de Dados'!$B$7="Sim",MAX(M35-SUMIFS(J$5:J34,$B$5:$B34,$B35),0)/($E35-$D35+1),MAX(N35,MAX(M35-SUMIFS(J$5:J34,$B$5:$B34,$B35),0)/($E35-$D35+1))))</f>
        <v>2142.85714285714</v>
      </c>
      <c r="P35" s="12" t="n">
        <f aca="false">IF($A35="",0,IF('Meta Diária'!I35&lt;&gt;"",'Meta Diária'!I35,IF(AND($C35=1,$A35&gt;='Base de Dados'!$B$6),AH35,0)))</f>
        <v>61</v>
      </c>
      <c r="Q35" s="12" t="n">
        <f aca="false">Q34+P34</f>
        <v>797</v>
      </c>
      <c r="R35" s="41" t="str">
        <f aca="false">IF($G35=1,IF(Q35&lt;S35-0.000000001,1,0),"")</f>
        <v/>
      </c>
      <c r="S35" s="12" t="str">
        <f aca="false">IF($G35=1,SUMIFS(AD$5:AD34,$G$5:$G34,1),"")</f>
        <v/>
      </c>
      <c r="T35" s="12" t="str">
        <f aca="false">IF($G35=1,IF(AND($E35&gt;=1,($F35-0)&gt;0),IF(R35=1,ROUNDUP(ROUND((MAX($P$3-Q35,0)-(0))/($F35-0),6),0),ROUND((MAX($P$3-Q35,0)-(0))/($F35-0),0)),0),"")</f>
        <v/>
      </c>
      <c r="U35" s="12" t="str">
        <f aca="false">IF($G35=1,IF(AND($E35&gt;=2,($F35-1)&gt;0),IF(R35=1,ROUNDUP(ROUND((MAX($P$3-Q35,0)-(T35))/($F35-1),6),0),ROUND((MAX($P$3-Q35,0)-(T35))/($F35-1),0)),0),"")</f>
        <v/>
      </c>
      <c r="V35" s="12" t="str">
        <f aca="false">IF($G35=1,IF(AND($E35&gt;=3,($F35-2)&gt;0),IF(R35=1,ROUNDUP(ROUND((MAX($P$3-Q35,0)-(T35+U35))/($F35-2),6),0),ROUND((MAX($P$3-Q35,0)-(T35+U35))/($F35-2),0)),0),"")</f>
        <v/>
      </c>
      <c r="W35" s="12" t="str">
        <f aca="false">IF($G35=1,IF(AND($E35&gt;=4,($F35-3)&gt;0),IF(R35=1,ROUNDUP(ROUND((MAX($P$3-Q35,0)-(T35+U35+V35))/($F35-3),6),0),ROUND((MAX($P$3-Q35,0)-(T35+U35+V35))/($F35-3),0)),0),"")</f>
        <v/>
      </c>
      <c r="X35" s="12" t="str">
        <f aca="false">IF($G35=1,IF(AND($E35&gt;=5,($F35-4)&gt;0),IF(R35=1,ROUNDUP(ROUND((MAX($P$3-Q35,0)-(T35+U35+V35+W35))/($F35-4),6),0),ROUND((MAX($P$3-Q35,0)-(T35+U35+V35+W35))/($F35-4),0)),0),"")</f>
        <v/>
      </c>
      <c r="Y35" s="12" t="str">
        <f aca="false">IF($G35=1,IF(AND($E35&gt;=1,($F35-0)&gt;0),ROUND((($P$3-S35)-(0))/($F35-0),0),0),"")</f>
        <v/>
      </c>
      <c r="Z35" s="12" t="str">
        <f aca="false">IF($G35=1,IF(AND($E35&gt;=2,($F35-1)&gt;0),ROUND((($P$3-S35)-(Y35))/($F35-1),0),0),"")</f>
        <v/>
      </c>
      <c r="AA35" s="12" t="str">
        <f aca="false">IF($G35=1,IF(AND($E35&gt;=3,($F35-2)&gt;0),ROUND((($P$3-S35)-(Y35+Z35))/($F35-2),0),0),"")</f>
        <v/>
      </c>
      <c r="AB35" s="12" t="str">
        <f aca="false">IF($G35=1,IF(AND($E35&gt;=4,($F35-3)&gt;0),ROUND((($P$3-S35)-(Y35+Z35+AA35))/($F35-3),0),0),"")</f>
        <v/>
      </c>
      <c r="AC35" s="12" t="str">
        <f aca="false">IF($G35=1,IF(AND($E35&gt;=5,($F35-4)&gt;0),ROUND((($P$3-S35)-(Y35+Z35+AA35+AB35))/($F35-4),0),0),"")</f>
        <v/>
      </c>
      <c r="AD35" s="12" t="n">
        <f aca="false">IF($A35="","",IF($G35=1,(Y35+Z35+AA35+AB35+AC35),AD34))</f>
        <v>202</v>
      </c>
      <c r="AE35" s="12" t="n">
        <f aca="false">IF($A35="","",IF($G35=1,IF('Base de Dados'!$B$7="Sim",(T35+U35+V35+W35+X35),MAX(AD35,(T35+U35+V35+W35+X35))),AE34))</f>
        <v>305</v>
      </c>
      <c r="AF35" s="12" t="n">
        <f aca="false">IF($A35="","",IF($G35=1,AD35,AF34-N(AG34)))</f>
        <v>40</v>
      </c>
      <c r="AG35" s="12" t="n">
        <f aca="false">IF($C35=1,ROUND(AF35/($E35-$D35+1),0),"")</f>
        <v>40</v>
      </c>
      <c r="AH35" s="12" t="n">
        <f aca="false">IF($C35&lt;&gt;1,"",IF('Base de Dados'!$B$7="Sim",IF(SUMIFS(P$5:P34,$B$5:$B34,$B35)&lt;SUMIFS(AG$5:AG34,$B$5:$B34,$B35)-0.000000001,ROUNDUP(ROUND(MAX(AE35-SUMIFS(P$5:P34,$B$5:$B34,$B35),0)/($E35-$D35+1),6),0),ROUND(MAX(AE35-SUMIFS(P$5:P34,$B$5:$B34,$B35),0)/($E35-$D35+1),0)),MAX(AG35,IF(SUMIFS(P$5:P34,$B$5:$B34,$B35)&lt;SUMIFS(AG$5:AG34,$B$5:$B34,$B35)-0.000000001,ROUNDUP(ROUND(MAX(AE35-SUMIFS(P$5:P34,$B$5:$B34,$B35),0)/($E35-$D35+1),6),0),ROUND(MAX(AE35-SUMIFS(P$5:P34,$B$5:$B34,$B35),0)/($E35-$D35+1),0)))))</f>
        <v>61</v>
      </c>
      <c r="AI35" s="12" t="n">
        <f aca="false">IF($A35="",0,IF('Meta Diária'!K35&lt;&gt;"",'Meta Diária'!K35,IF(AND($C35=1,$A35&gt;='Base de Dados'!$B$6),BA35,0)))</f>
        <v>12</v>
      </c>
      <c r="AJ35" s="12" t="n">
        <f aca="false">AJ34+AI34</f>
        <v>160</v>
      </c>
      <c r="AK35" s="41" t="str">
        <f aca="false">IF($G35=1,IF(AJ35&lt;AL35-0.000000001,1,0),"")</f>
        <v/>
      </c>
      <c r="AL35" s="12" t="str">
        <f aca="false">IF($G35=1,SUMIFS(AW$5:AW34,$G$5:$G34,1),"")</f>
        <v/>
      </c>
      <c r="AM35" s="12" t="str">
        <f aca="false">IF($G35=1,IF(AND($E35&gt;=1,($F35-0)&gt;0),IF(AK35=1,ROUNDUP(ROUND((MAX($AI$3-AJ35,0)-(0))/($F35-0),6),0),ROUND((MAX($AI$3-AJ35,0)-(0))/($F35-0),0)),0),"")</f>
        <v/>
      </c>
      <c r="AN35" s="12" t="str">
        <f aca="false">IF($G35=1,IF(AND($E35&gt;=2,($F35-1)&gt;0),IF(AK35=1,ROUNDUP(ROUND((MAX($AI$3-AJ35,0)-(AM35))/($F35-1),6),0),ROUND((MAX($AI$3-AJ35,0)-(AM35))/($F35-1),0)),0),"")</f>
        <v/>
      </c>
      <c r="AO35" s="12" t="str">
        <f aca="false">IF($G35=1,IF(AND($E35&gt;=3,($F35-2)&gt;0),IF(AK35=1,ROUNDUP(ROUND((MAX($AI$3-AJ35,0)-(AM35+AN35))/($F35-2),6),0),ROUND((MAX($AI$3-AJ35,0)-(AM35+AN35))/($F35-2),0)),0),"")</f>
        <v/>
      </c>
      <c r="AP35" s="12" t="str">
        <f aca="false">IF($G35=1,IF(AND($E35&gt;=4,($F35-3)&gt;0),IF(AK35=1,ROUNDUP(ROUND((MAX($AI$3-AJ35,0)-(AM35+AN35+AO35))/($F35-3),6),0),ROUND((MAX($AI$3-AJ35,0)-(AM35+AN35+AO35))/($F35-3),0)),0),"")</f>
        <v/>
      </c>
      <c r="AQ35" s="12" t="str">
        <f aca="false">IF($G35=1,IF(AND($E35&gt;=5,($F35-4)&gt;0),IF(AK35=1,ROUNDUP(ROUND((MAX($AI$3-AJ35,0)-(AM35+AN35+AO35+AP35))/($F35-4),6),0),ROUND((MAX($AI$3-AJ35,0)-(AM35+AN35+AO35+AP35))/($F35-4),0)),0),"")</f>
        <v/>
      </c>
      <c r="AR35" s="12" t="str">
        <f aca="false">IF($G35=1,IF(AND($E35&gt;=1,($F35-0)&gt;0),ROUND((($AI$3-AL35)-(0))/($F35-0),0),0),"")</f>
        <v/>
      </c>
      <c r="AS35" s="12" t="str">
        <f aca="false">IF($G35=1,IF(AND($E35&gt;=2,($F35-1)&gt;0),ROUND((($AI$3-AL35)-(AR35))/($F35-1),0),0),"")</f>
        <v/>
      </c>
      <c r="AT35" s="12" t="str">
        <f aca="false">IF($G35=1,IF(AND($E35&gt;=3,($F35-2)&gt;0),ROUND((($AI$3-AL35)-(AR35+AS35))/($F35-2),0),0),"")</f>
        <v/>
      </c>
      <c r="AU35" s="12" t="str">
        <f aca="false">IF($G35=1,IF(AND($E35&gt;=4,($F35-3)&gt;0),ROUND((($AI$3-AL35)-(AR35+AS35+AT35))/($F35-3),0),0),"")</f>
        <v/>
      </c>
      <c r="AV35" s="12" t="str">
        <f aca="false">IF($G35=1,IF(AND($E35&gt;=5,($F35-4)&gt;0),ROUND((($AI$3-AL35)-(AR35+AS35+AT35+AU35))/($F35-4),0),0),"")</f>
        <v/>
      </c>
      <c r="AW35" s="12" t="n">
        <f aca="false">IF($A35="","",IF($G35=1,(AR35+AS35+AT35+AU35+AV35),AW34))</f>
        <v>42</v>
      </c>
      <c r="AX35" s="12" t="n">
        <f aca="false">IF($A35="","",IF($G35=1,IF('Base de Dados'!$B$7="Sim",(AM35+AN35+AO35+AP35+AQ35),MAX(AW35,(AM35+AN35+AO35+AP35+AQ35))),AX34))</f>
        <v>60</v>
      </c>
      <c r="AY35" s="12" t="n">
        <f aca="false">IF($A35="","",IF($G35=1,AW35,AY34-N(AZ34)))</f>
        <v>8</v>
      </c>
      <c r="AZ35" s="12" t="n">
        <f aca="false">IF($C35=1,ROUND(AY35/($E35-$D35+1),0),"")</f>
        <v>8</v>
      </c>
      <c r="BA35" s="12" t="n">
        <f aca="false">IF($C35&lt;&gt;1,"",IF('Base de Dados'!$B$7="Sim",IF(SUMIFS(AI$5:AI34,$B$5:$B34,$B35)&lt;SUMIFS(AZ$5:AZ34,$B$5:$B34,$B35)-0.000000001,ROUNDUP(ROUND(MAX(AX35-SUMIFS(AI$5:AI34,$B$5:$B34,$B35),0)/($E35-$D35+1),6),0),ROUND(MAX(AX35-SUMIFS(AI$5:AI34,$B$5:$B34,$B35),0)/($E35-$D35+1),0)),MAX(AZ35,IF(SUMIFS(AI$5:AI34,$B$5:$B34,$B35)&lt;SUMIFS(AZ$5:AZ34,$B$5:$B34,$B35)-0.000000001,ROUNDUP(ROUND(MAX(AX35-SUMIFS(AI$5:AI34,$B$5:$B34,$B35),0)/($E35-$D35+1),6),0),ROUND(MAX(AX35-SUMIFS(AI$5:AI34,$B$5:$B34,$B35),0)/($E35-$D35+1),0)))))</f>
        <v>12</v>
      </c>
      <c r="BB35" s="12" t="n">
        <f aca="false">IF($A35="",0,IF('Meta Diária'!M35&lt;&gt;"",'Meta Diária'!M35,IF(AND($C35=1,$A35&gt;='Base de Dados'!$B$6),BT35,0)))</f>
        <v>7</v>
      </c>
      <c r="BC35" s="12" t="n">
        <f aca="false">BC34+BB34</f>
        <v>97</v>
      </c>
      <c r="BD35" s="41" t="str">
        <f aca="false">IF($G35=1,IF(BC35&lt;BE35-0.000000001,1,0),"")</f>
        <v/>
      </c>
      <c r="BE35" s="12" t="str">
        <f aca="false">IF($G35=1,SUMIFS(BP$5:BP34,$G$5:$G34,1),"")</f>
        <v/>
      </c>
      <c r="BF35" s="12" t="str">
        <f aca="false">IF($G35=1,IF(AND($E35&gt;=1,($F35-0)&gt;0),IF(BD35=1,ROUNDUP(ROUND((MAX($BB$3-BC35,0)-(0))/($F35-0),6),0),ROUND((MAX($BB$3-BC35,0)-(0))/($F35-0),0)),0),"")</f>
        <v/>
      </c>
      <c r="BG35" s="12" t="str">
        <f aca="false">IF($G35=1,IF(AND($E35&gt;=2,($F35-1)&gt;0),IF(BD35=1,ROUNDUP(ROUND((MAX($BB$3-BC35,0)-(BF35))/($F35-1),6),0),ROUND((MAX($BB$3-BC35,0)-(BF35))/($F35-1),0)),0),"")</f>
        <v/>
      </c>
      <c r="BH35" s="12" t="str">
        <f aca="false">IF($G35=1,IF(AND($E35&gt;=3,($F35-2)&gt;0),IF(BD35=1,ROUNDUP(ROUND((MAX($BB$3-BC35,0)-(BF35+BG35))/($F35-2),6),0),ROUND((MAX($BB$3-BC35,0)-(BF35+BG35))/($F35-2),0)),0),"")</f>
        <v/>
      </c>
      <c r="BI35" s="12" t="str">
        <f aca="false">IF($G35=1,IF(AND($E35&gt;=4,($F35-3)&gt;0),IF(BD35=1,ROUNDUP(ROUND((MAX($BB$3-BC35,0)-(BF35+BG35+BH35))/($F35-3),6),0),ROUND((MAX($BB$3-BC35,0)-(BF35+BG35+BH35))/($F35-3),0)),0),"")</f>
        <v/>
      </c>
      <c r="BJ35" s="12" t="str">
        <f aca="false">IF($G35=1,IF(AND($E35&gt;=5,($F35-4)&gt;0),IF(BD35=1,ROUNDUP(ROUND((MAX($BB$3-BC35,0)-(BF35+BG35+BH35+BI35))/($F35-4),6),0),ROUND((MAX($BB$3-BC35,0)-(BF35+BG35+BH35+BI35))/($F35-4),0)),0),"")</f>
        <v/>
      </c>
      <c r="BK35" s="12" t="str">
        <f aca="false">IF($G35=1,IF(AND($E35&gt;=1,($F35-0)&gt;0),ROUND((($BB$3-BE35)-(0))/($F35-0),0),0),"")</f>
        <v/>
      </c>
      <c r="BL35" s="12" t="str">
        <f aca="false">IF($G35=1,IF(AND($E35&gt;=2,($F35-1)&gt;0),ROUND((($BB$3-BE35)-(BK35))/($F35-1),0),0),"")</f>
        <v/>
      </c>
      <c r="BM35" s="12" t="str">
        <f aca="false">IF($G35=1,IF(AND($E35&gt;=3,($F35-2)&gt;0),ROUND((($BB$3-BE35)-(BK35+BL35))/($F35-2),0),0),"")</f>
        <v/>
      </c>
      <c r="BN35" s="12" t="str">
        <f aca="false">IF($G35=1,IF(AND($E35&gt;=4,($F35-3)&gt;0),ROUND((($BB$3-BE35)-(BK35+BL35+BM35))/($F35-3),0),0),"")</f>
        <v/>
      </c>
      <c r="BO35" s="12" t="str">
        <f aca="false">IF($G35=1,IF(AND($E35&gt;=5,($F35-4)&gt;0),ROUND((($BB$3-BE35)-(BK35+BL35+BM35+BN35))/($F35-4),0),0),"")</f>
        <v/>
      </c>
      <c r="BP35" s="12" t="n">
        <f aca="false">IF($A35="","",IF($G35=1,(BK35+BL35+BM35+BN35+BO35),BP34))</f>
        <v>24</v>
      </c>
      <c r="BQ35" s="12" t="n">
        <f aca="false">IF($A35="","",IF($G35=1,IF('Base de Dados'!$B$7="Sim",(BF35+BG35+BH35+BI35+BJ35),MAX(BP35,(BF35+BG35+BH35+BI35+BJ35))),BQ34))</f>
        <v>35</v>
      </c>
      <c r="BR35" s="12" t="n">
        <f aca="false">IF($A35="","",IF($G35=1,BP35,BR34-N(BS34)))</f>
        <v>4</v>
      </c>
      <c r="BS35" s="12" t="n">
        <f aca="false">IF($C35=1,ROUND(BR35/($E35-$D35+1),0),"")</f>
        <v>4</v>
      </c>
      <c r="BT35" s="12" t="n">
        <f aca="false">IF($C35&lt;&gt;1,"",IF('Base de Dados'!$B$7="Sim",IF(SUMIFS(BB$5:BB34,$B$5:$B34,$B35)&lt;SUMIFS(BS$5:BS34,$B$5:$B34,$B35)-0.000000001,ROUNDUP(ROUND(MAX(BQ35-SUMIFS(BB$5:BB34,$B$5:$B34,$B35),0)/($E35-$D35+1),6),0),ROUND(MAX(BQ35-SUMIFS(BB$5:BB34,$B$5:$B34,$B35),0)/($E35-$D35+1),0)),MAX(BS35,IF(SUMIFS(BB$5:BB34,$B$5:$B34,$B35)&lt;SUMIFS(BS$5:BS34,$B$5:$B34,$B35)-0.000000001,ROUNDUP(ROUND(MAX(BQ35-SUMIFS(BB$5:BB34,$B$5:$B34,$B35),0)/($E35-$D35+1),6),0),ROUND(MAX(BQ35-SUMIFS(BB$5:BB34,$B$5:$B34,$B35),0)/($E35-$D35+1),0)))))</f>
        <v>7</v>
      </c>
      <c r="BU35" s="12" t="n">
        <f aca="false">IF($A35="",0,IF('Meta Diária'!O35&lt;&gt;"",'Meta Diária'!O35,IF(AND($C35=1,$A35&gt;='Base de Dados'!$B$6),CM35,0)))</f>
        <v>2</v>
      </c>
      <c r="BV35" s="12" t="n">
        <f aca="false">BV34+BU34</f>
        <v>30</v>
      </c>
      <c r="BW35" s="41" t="str">
        <f aca="false">IF($G35=1,IF(BV35&lt;BX35-0.000000001,1,0),"")</f>
        <v/>
      </c>
      <c r="BX35" s="12" t="str">
        <f aca="false">IF($G35=1,SUMIFS(CI$5:CI34,$G$5:$G34,1),"")</f>
        <v/>
      </c>
      <c r="BY35" s="12" t="str">
        <f aca="false">IF($G35=1,IF(AND($E35&gt;=1,($F35-0)&gt;0),IF(BW35=1,ROUNDUP(ROUND((MAX($BU$3-BV35,0)-(0))/($F35-0),6),0),ROUND((MAX($BU$3-BV35,0)-(0))/($F35-0),0)),0),"")</f>
        <v/>
      </c>
      <c r="BZ35" s="12" t="str">
        <f aca="false">IF($G35=1,IF(AND($E35&gt;=2,($F35-1)&gt;0),IF(BW35=1,ROUNDUP(ROUND((MAX($BU$3-BV35,0)-(BY35))/($F35-1),6),0),ROUND((MAX($BU$3-BV35,0)-(BY35))/($F35-1),0)),0),"")</f>
        <v/>
      </c>
      <c r="CA35" s="12" t="str">
        <f aca="false">IF($G35=1,IF(AND($E35&gt;=3,($F35-2)&gt;0),IF(BW35=1,ROUNDUP(ROUND((MAX($BU$3-BV35,0)-(BY35+BZ35))/($F35-2),6),0),ROUND((MAX($BU$3-BV35,0)-(BY35+BZ35))/($F35-2),0)),0),"")</f>
        <v/>
      </c>
      <c r="CB35" s="12" t="str">
        <f aca="false">IF($G35=1,IF(AND($E35&gt;=4,($F35-3)&gt;0),IF(BW35=1,ROUNDUP(ROUND((MAX($BU$3-BV35,0)-(BY35+BZ35+CA35))/($F35-3),6),0),ROUND((MAX($BU$3-BV35,0)-(BY35+BZ35+CA35))/($F35-3),0)),0),"")</f>
        <v/>
      </c>
      <c r="CC35" s="12" t="str">
        <f aca="false">IF($G35=1,IF(AND($E35&gt;=5,($F35-4)&gt;0),IF(BW35=1,ROUNDUP(ROUND((MAX($BU$3-BV35,0)-(BY35+BZ35+CA35+CB35))/($F35-4),6),0),ROUND((MAX($BU$3-BV35,0)-(BY35+BZ35+CA35+CB35))/($F35-4),0)),0),"")</f>
        <v/>
      </c>
      <c r="CD35" s="12" t="str">
        <f aca="false">IF($G35=1,IF(AND($E35&gt;=1,($F35-0)&gt;0),ROUND((($BU$3-BX35)-(0))/($F35-0),0),0),"")</f>
        <v/>
      </c>
      <c r="CE35" s="12" t="str">
        <f aca="false">IF($G35=1,IF(AND($E35&gt;=2,($F35-1)&gt;0),ROUND((($BU$3-BX35)-(CD35))/($F35-1),0),0),"")</f>
        <v/>
      </c>
      <c r="CF35" s="12" t="str">
        <f aca="false">IF($G35=1,IF(AND($E35&gt;=3,($F35-2)&gt;0),ROUND((($BU$3-BX35)-(CD35+CE35))/($F35-2),0),0),"")</f>
        <v/>
      </c>
      <c r="CG35" s="12" t="str">
        <f aca="false">IF($G35=1,IF(AND($E35&gt;=4,($F35-3)&gt;0),ROUND((($BU$3-BX35)-(CD35+CE35+CF35))/($F35-3),0),0),"")</f>
        <v/>
      </c>
      <c r="CH35" s="12" t="str">
        <f aca="false">IF($G35=1,IF(AND($E35&gt;=5,($F35-4)&gt;0),ROUND((($BU$3-BX35)-(CD35+CE35+CF35+CG35))/($F35-4),0),0),"")</f>
        <v/>
      </c>
      <c r="CI35" s="12" t="n">
        <f aca="false">IF($A35="","",IF($G35=1,(CD35+CE35+CF35+CG35+CH35),CI34))</f>
        <v>7</v>
      </c>
      <c r="CJ35" s="12" t="n">
        <f aca="false">IF($A35="","",IF($G35=1,IF('Base de Dados'!$B$7="Sim",(BY35+BZ35+CA35+CB35+CC35),MAX(CI35,(BY35+BZ35+CA35+CB35+CC35))),CJ34))</f>
        <v>10</v>
      </c>
      <c r="CK35" s="12" t="n">
        <f aca="false">IF($A35="","",IF($G35=1,CI35,CK34-N(CL34)))</f>
        <v>1</v>
      </c>
      <c r="CL35" s="12" t="n">
        <f aca="false">IF($C35=1,ROUND(CK35/($E35-$D35+1),0),"")</f>
        <v>1</v>
      </c>
      <c r="CM35" s="12" t="n">
        <f aca="false">IF($C35&lt;&gt;1,"",IF('Base de Dados'!$B$7="Sim",IF(SUMIFS(BU$5:BU34,$B$5:$B34,$B35)&lt;SUMIFS(CL$5:CL34,$B$5:$B34,$B35)-0.000000001,ROUNDUP(ROUND(MAX(CJ35-SUMIFS(BU$5:BU34,$B$5:$B34,$B35),0)/($E35-$D35+1),6),0),ROUND(MAX(CJ35-SUMIFS(BU$5:BU34,$B$5:$B34,$B35),0)/($E35-$D35+1),0)),MAX(CL35,IF(SUMIFS(BU$5:BU34,$B$5:$B34,$B35)&lt;SUMIFS(CL$5:CL34,$B$5:$B34,$B35)-0.000000001,ROUNDUP(ROUND(MAX(CJ35-SUMIFS(BU$5:BU34,$B$5:$B34,$B35),0)/($E35-$D35+1),6),0),ROUND(MAX(CJ35-SUMIFS(BU$5:BU34,$B$5:$B34,$B35),0)/($E35-$D35+1),0)))))</f>
        <v>2</v>
      </c>
    </row>
    <row r="36" customFormat="false" ht="15" hidden="false" customHeight="false" outlineLevel="0" collapsed="false">
      <c r="A36" s="7" t="n">
        <f aca="false">IF($E$2+30&lt;=EOMONTH($E$2,0),$E$2+30,"")</f>
        <v>46326</v>
      </c>
      <c r="B36" s="41" t="n">
        <f aca="false">IF(A36="","",IF(COUNTIFS(H$6:H$36,H36,C$6:C$36,1)=0,"",IF(H36=H35,B35,1+MAX(B$5:B35))))</f>
        <v>5</v>
      </c>
      <c r="C36" s="41" t="n">
        <f aca="false">IF(A36="",0,IF(AND(WEEKDAY(A36,2)&lt;=5,COUNTIF(Folgas!$A$5:$A$300,A36)=0),1,0))</f>
        <v>0</v>
      </c>
      <c r="D36" s="41" t="n">
        <f aca="false">IF(C36=1,COUNTIFS(B$6:B36,B36,C$6:C36,1),0)</f>
        <v>0</v>
      </c>
      <c r="E36" s="41" t="n">
        <f aca="false">IF(OR(A36="",B36=""),0,COUNTIFS(B$6:B$36,B36,C$6:C$36,1))</f>
        <v>5</v>
      </c>
      <c r="F36" s="41" t="n">
        <f aca="false">IF(OR(A36="",B36=""),0,COUNTIFS(B$6:B$36,"&gt;="&amp;B36,C$6:C$36,1))</f>
        <v>5</v>
      </c>
      <c r="G36" s="41" t="n">
        <f aca="false">IF(OR(A36="",B36=""),0,IF(B36=B35,0,1))</f>
        <v>0</v>
      </c>
      <c r="H36" s="41" t="n">
        <f aca="false">IF(A36="","",INT((A36-$E$3)/7)+1)</f>
        <v>5</v>
      </c>
      <c r="J36" s="13" t="n">
        <f aca="false">IF($A36="",0,IF('Meta Diária'!G36&lt;&gt;"",'Meta Diária'!G36,IF(AND($C36=1,$A36&gt;='Base de Dados'!$B$6),O36,0)))</f>
        <v>0</v>
      </c>
      <c r="K36" s="13" t="n">
        <f aca="false">K35+J35</f>
        <v>30000</v>
      </c>
      <c r="L36" s="13" t="n">
        <f aca="false">IF($A36="","",IF($G36=1,IF($B$2=0,0,$J$3*$E36/$B$2),L35))</f>
        <v>7142.85714285714</v>
      </c>
      <c r="M36" s="13" t="n">
        <f aca="false">IF($A36="","",IF($G36=1,IF('Base de Dados'!$B$7="Sim",IF($F36=0,0,MAX($J$3-K36,0)*$E36/$F36),MAX(L36,IF($F36=0,0,MAX($J$3-K36,0)*$E36/$F36))),M35))</f>
        <v>10714.2857142857</v>
      </c>
      <c r="N36" s="13" t="str">
        <f aca="false">IF($C36=1,M36/$E36,"")</f>
        <v/>
      </c>
      <c r="O36" s="13" t="str">
        <f aca="false">IF($C36&lt;&gt;1,"",IF('Base de Dados'!$B$7="Sim",MAX(M36-SUMIFS(J$5:J35,$B$5:$B35,$B36),0)/($E36-$D36+1),MAX(N36,MAX(M36-SUMIFS(J$5:J35,$B$5:$B35,$B36),0)/($E36-$D36+1))))</f>
        <v/>
      </c>
      <c r="P36" s="12" t="n">
        <f aca="false">IF($A36="",0,IF('Meta Diária'!I36&lt;&gt;"",'Meta Diária'!I36,IF(AND($C36=1,$A36&gt;='Base de Dados'!$B$6),AH36,0)))</f>
        <v>0</v>
      </c>
      <c r="Q36" s="12" t="n">
        <f aca="false">Q35+P35</f>
        <v>858</v>
      </c>
      <c r="R36" s="41" t="str">
        <f aca="false">IF($G36=1,IF(Q36&lt;S36-0.000000001,1,0),"")</f>
        <v/>
      </c>
      <c r="S36" s="12" t="str">
        <f aca="false">IF($G36=1,SUMIFS(AD$5:AD35,$G$5:$G35,1),"")</f>
        <v/>
      </c>
      <c r="T36" s="12" t="str">
        <f aca="false">IF($G36=1,IF(AND($E36&gt;=1,($F36-0)&gt;0),IF(R36=1,ROUNDUP(ROUND((MAX($P$3-Q36,0)-(0))/($F36-0),6),0),ROUND((MAX($P$3-Q36,0)-(0))/($F36-0),0)),0),"")</f>
        <v/>
      </c>
      <c r="U36" s="12" t="str">
        <f aca="false">IF($G36=1,IF(AND($E36&gt;=2,($F36-1)&gt;0),IF(R36=1,ROUNDUP(ROUND((MAX($P$3-Q36,0)-(T36))/($F36-1),6),0),ROUND((MAX($P$3-Q36,0)-(T36))/($F36-1),0)),0),"")</f>
        <v/>
      </c>
      <c r="V36" s="12" t="str">
        <f aca="false">IF($G36=1,IF(AND($E36&gt;=3,($F36-2)&gt;0),IF(R36=1,ROUNDUP(ROUND((MAX($P$3-Q36,0)-(T36+U36))/($F36-2),6),0),ROUND((MAX($P$3-Q36,0)-(T36+U36))/($F36-2),0)),0),"")</f>
        <v/>
      </c>
      <c r="W36" s="12" t="str">
        <f aca="false">IF($G36=1,IF(AND($E36&gt;=4,($F36-3)&gt;0),IF(R36=1,ROUNDUP(ROUND((MAX($P$3-Q36,0)-(T36+U36+V36))/($F36-3),6),0),ROUND((MAX($P$3-Q36,0)-(T36+U36+V36))/($F36-3),0)),0),"")</f>
        <v/>
      </c>
      <c r="X36" s="12" t="str">
        <f aca="false">IF($G36=1,IF(AND($E36&gt;=5,($F36-4)&gt;0),IF(R36=1,ROUNDUP(ROUND((MAX($P$3-Q36,0)-(T36+U36+V36+W36))/($F36-4),6),0),ROUND((MAX($P$3-Q36,0)-(T36+U36+V36+W36))/($F36-4),0)),0),"")</f>
        <v/>
      </c>
      <c r="Y36" s="12" t="str">
        <f aca="false">IF($G36=1,IF(AND($E36&gt;=1,($F36-0)&gt;0),ROUND((($P$3-S36)-(0))/($F36-0),0),0),"")</f>
        <v/>
      </c>
      <c r="Z36" s="12" t="str">
        <f aca="false">IF($G36=1,IF(AND($E36&gt;=2,($F36-1)&gt;0),ROUND((($P$3-S36)-(Y36))/($F36-1),0),0),"")</f>
        <v/>
      </c>
      <c r="AA36" s="12" t="str">
        <f aca="false">IF($G36=1,IF(AND($E36&gt;=3,($F36-2)&gt;0),ROUND((($P$3-S36)-(Y36+Z36))/($F36-2),0),0),"")</f>
        <v/>
      </c>
      <c r="AB36" s="12" t="str">
        <f aca="false">IF($G36=1,IF(AND($E36&gt;=4,($F36-3)&gt;0),ROUND((($P$3-S36)-(Y36+Z36+AA36))/($F36-3),0),0),"")</f>
        <v/>
      </c>
      <c r="AC36" s="12" t="str">
        <f aca="false">IF($G36=1,IF(AND($E36&gt;=5,($F36-4)&gt;0),ROUND((($P$3-S36)-(Y36+Z36+AA36+AB36))/($F36-4),0),0),"")</f>
        <v/>
      </c>
      <c r="AD36" s="12" t="n">
        <f aca="false">IF($A36="","",IF($G36=1,(Y36+Z36+AA36+AB36+AC36),AD35))</f>
        <v>202</v>
      </c>
      <c r="AE36" s="12" t="n">
        <f aca="false">IF($A36="","",IF($G36=1,IF('Base de Dados'!$B$7="Sim",(T36+U36+V36+W36+X36),MAX(AD36,(T36+U36+V36+W36+X36))),AE35))</f>
        <v>305</v>
      </c>
      <c r="AF36" s="12" t="n">
        <f aca="false">IF($A36="","",IF($G36=1,AD36,AF35-N(AG35)))</f>
        <v>0</v>
      </c>
      <c r="AG36" s="12" t="str">
        <f aca="false">IF($C36=1,ROUND(AF36/($E36-$D36+1),0),"")</f>
        <v/>
      </c>
      <c r="AH36" s="12" t="str">
        <f aca="false">IF($C36&lt;&gt;1,"",IF('Base de Dados'!$B$7="Sim",IF(SUMIFS(P$5:P35,$B$5:$B35,$B36)&lt;SUMIFS(AG$5:AG35,$B$5:$B35,$B36)-0.000000001,ROUNDUP(ROUND(MAX(AE36-SUMIFS(P$5:P35,$B$5:$B35,$B36),0)/($E36-$D36+1),6),0),ROUND(MAX(AE36-SUMIFS(P$5:P35,$B$5:$B35,$B36),0)/($E36-$D36+1),0)),MAX(AG36,IF(SUMIFS(P$5:P35,$B$5:$B35,$B36)&lt;SUMIFS(AG$5:AG35,$B$5:$B35,$B36)-0.000000001,ROUNDUP(ROUND(MAX(AE36-SUMIFS(P$5:P35,$B$5:$B35,$B36),0)/($E36-$D36+1),6),0),ROUND(MAX(AE36-SUMIFS(P$5:P35,$B$5:$B35,$B36),0)/($E36-$D36+1),0)))))</f>
        <v/>
      </c>
      <c r="AI36" s="12" t="n">
        <f aca="false">IF($A36="",0,IF('Meta Diária'!K36&lt;&gt;"",'Meta Diária'!K36,IF(AND($C36=1,$A36&gt;='Base de Dados'!$B$6),BA36,0)))</f>
        <v>0</v>
      </c>
      <c r="AJ36" s="12" t="n">
        <f aca="false">AJ35+AI35</f>
        <v>172</v>
      </c>
      <c r="AK36" s="41" t="str">
        <f aca="false">IF($G36=1,IF(AJ36&lt;AL36-0.000000001,1,0),"")</f>
        <v/>
      </c>
      <c r="AL36" s="12" t="str">
        <f aca="false">IF($G36=1,SUMIFS(AW$5:AW35,$G$5:$G35,1),"")</f>
        <v/>
      </c>
      <c r="AM36" s="12" t="str">
        <f aca="false">IF($G36=1,IF(AND($E36&gt;=1,($F36-0)&gt;0),IF(AK36=1,ROUNDUP(ROUND((MAX($AI$3-AJ36,0)-(0))/($F36-0),6),0),ROUND((MAX($AI$3-AJ36,0)-(0))/($F36-0),0)),0),"")</f>
        <v/>
      </c>
      <c r="AN36" s="12" t="str">
        <f aca="false">IF($G36=1,IF(AND($E36&gt;=2,($F36-1)&gt;0),IF(AK36=1,ROUNDUP(ROUND((MAX($AI$3-AJ36,0)-(AM36))/($F36-1),6),0),ROUND((MAX($AI$3-AJ36,0)-(AM36))/($F36-1),0)),0),"")</f>
        <v/>
      </c>
      <c r="AO36" s="12" t="str">
        <f aca="false">IF($G36=1,IF(AND($E36&gt;=3,($F36-2)&gt;0),IF(AK36=1,ROUNDUP(ROUND((MAX($AI$3-AJ36,0)-(AM36+AN36))/($F36-2),6),0),ROUND((MAX($AI$3-AJ36,0)-(AM36+AN36))/($F36-2),0)),0),"")</f>
        <v/>
      </c>
      <c r="AP36" s="12" t="str">
        <f aca="false">IF($G36=1,IF(AND($E36&gt;=4,($F36-3)&gt;0),IF(AK36=1,ROUNDUP(ROUND((MAX($AI$3-AJ36,0)-(AM36+AN36+AO36))/($F36-3),6),0),ROUND((MAX($AI$3-AJ36,0)-(AM36+AN36+AO36))/($F36-3),0)),0),"")</f>
        <v/>
      </c>
      <c r="AQ36" s="12" t="str">
        <f aca="false">IF($G36=1,IF(AND($E36&gt;=5,($F36-4)&gt;0),IF(AK36=1,ROUNDUP(ROUND((MAX($AI$3-AJ36,0)-(AM36+AN36+AO36+AP36))/($F36-4),6),0),ROUND((MAX($AI$3-AJ36,0)-(AM36+AN36+AO36+AP36))/($F36-4),0)),0),"")</f>
        <v/>
      </c>
      <c r="AR36" s="12" t="str">
        <f aca="false">IF($G36=1,IF(AND($E36&gt;=1,($F36-0)&gt;0),ROUND((($AI$3-AL36)-(0))/($F36-0),0),0),"")</f>
        <v/>
      </c>
      <c r="AS36" s="12" t="str">
        <f aca="false">IF($G36=1,IF(AND($E36&gt;=2,($F36-1)&gt;0),ROUND((($AI$3-AL36)-(AR36))/($F36-1),0),0),"")</f>
        <v/>
      </c>
      <c r="AT36" s="12" t="str">
        <f aca="false">IF($G36=1,IF(AND($E36&gt;=3,($F36-2)&gt;0),ROUND((($AI$3-AL36)-(AR36+AS36))/($F36-2),0),0),"")</f>
        <v/>
      </c>
      <c r="AU36" s="12" t="str">
        <f aca="false">IF($G36=1,IF(AND($E36&gt;=4,($F36-3)&gt;0),ROUND((($AI$3-AL36)-(AR36+AS36+AT36))/($F36-3),0),0),"")</f>
        <v/>
      </c>
      <c r="AV36" s="12" t="str">
        <f aca="false">IF($G36=1,IF(AND($E36&gt;=5,($F36-4)&gt;0),ROUND((($AI$3-AL36)-(AR36+AS36+AT36+AU36))/($F36-4),0),0),"")</f>
        <v/>
      </c>
      <c r="AW36" s="12" t="n">
        <f aca="false">IF($A36="","",IF($G36=1,(AR36+AS36+AT36+AU36+AV36),AW35))</f>
        <v>42</v>
      </c>
      <c r="AX36" s="12" t="n">
        <f aca="false">IF($A36="","",IF($G36=1,IF('Base de Dados'!$B$7="Sim",(AM36+AN36+AO36+AP36+AQ36),MAX(AW36,(AM36+AN36+AO36+AP36+AQ36))),AX35))</f>
        <v>60</v>
      </c>
      <c r="AY36" s="12" t="n">
        <f aca="false">IF($A36="","",IF($G36=1,AW36,AY35-N(AZ35)))</f>
        <v>0</v>
      </c>
      <c r="AZ36" s="12" t="str">
        <f aca="false">IF($C36=1,ROUND(AY36/($E36-$D36+1),0),"")</f>
        <v/>
      </c>
      <c r="BA36" s="12" t="str">
        <f aca="false">IF($C36&lt;&gt;1,"",IF('Base de Dados'!$B$7="Sim",IF(SUMIFS(AI$5:AI35,$B$5:$B35,$B36)&lt;SUMIFS(AZ$5:AZ35,$B$5:$B35,$B36)-0.000000001,ROUNDUP(ROUND(MAX(AX36-SUMIFS(AI$5:AI35,$B$5:$B35,$B36),0)/($E36-$D36+1),6),0),ROUND(MAX(AX36-SUMIFS(AI$5:AI35,$B$5:$B35,$B36),0)/($E36-$D36+1),0)),MAX(AZ36,IF(SUMIFS(AI$5:AI35,$B$5:$B35,$B36)&lt;SUMIFS(AZ$5:AZ35,$B$5:$B35,$B36)-0.000000001,ROUNDUP(ROUND(MAX(AX36-SUMIFS(AI$5:AI35,$B$5:$B35,$B36),0)/($E36-$D36+1),6),0),ROUND(MAX(AX36-SUMIFS(AI$5:AI35,$B$5:$B35,$B36),0)/($E36-$D36+1),0)))))</f>
        <v/>
      </c>
      <c r="BB36" s="12" t="n">
        <f aca="false">IF($A36="",0,IF('Meta Diária'!M36&lt;&gt;"",'Meta Diária'!M36,IF(AND($C36=1,$A36&gt;='Base de Dados'!$B$6),BT36,0)))</f>
        <v>0</v>
      </c>
      <c r="BC36" s="12" t="n">
        <f aca="false">BC35+BB35</f>
        <v>104</v>
      </c>
      <c r="BD36" s="41" t="str">
        <f aca="false">IF($G36=1,IF(BC36&lt;BE36-0.000000001,1,0),"")</f>
        <v/>
      </c>
      <c r="BE36" s="12" t="str">
        <f aca="false">IF($G36=1,SUMIFS(BP$5:BP35,$G$5:$G35,1),"")</f>
        <v/>
      </c>
      <c r="BF36" s="12" t="str">
        <f aca="false">IF($G36=1,IF(AND($E36&gt;=1,($F36-0)&gt;0),IF(BD36=1,ROUNDUP(ROUND((MAX($BB$3-BC36,0)-(0))/($F36-0),6),0),ROUND((MAX($BB$3-BC36,0)-(0))/($F36-0),0)),0),"")</f>
        <v/>
      </c>
      <c r="BG36" s="12" t="str">
        <f aca="false">IF($G36=1,IF(AND($E36&gt;=2,($F36-1)&gt;0),IF(BD36=1,ROUNDUP(ROUND((MAX($BB$3-BC36,0)-(BF36))/($F36-1),6),0),ROUND((MAX($BB$3-BC36,0)-(BF36))/($F36-1),0)),0),"")</f>
        <v/>
      </c>
      <c r="BH36" s="12" t="str">
        <f aca="false">IF($G36=1,IF(AND($E36&gt;=3,($F36-2)&gt;0),IF(BD36=1,ROUNDUP(ROUND((MAX($BB$3-BC36,0)-(BF36+BG36))/($F36-2),6),0),ROUND((MAX($BB$3-BC36,0)-(BF36+BG36))/($F36-2),0)),0),"")</f>
        <v/>
      </c>
      <c r="BI36" s="12" t="str">
        <f aca="false">IF($G36=1,IF(AND($E36&gt;=4,($F36-3)&gt;0),IF(BD36=1,ROUNDUP(ROUND((MAX($BB$3-BC36,0)-(BF36+BG36+BH36))/($F36-3),6),0),ROUND((MAX($BB$3-BC36,0)-(BF36+BG36+BH36))/($F36-3),0)),0),"")</f>
        <v/>
      </c>
      <c r="BJ36" s="12" t="str">
        <f aca="false">IF($G36=1,IF(AND($E36&gt;=5,($F36-4)&gt;0),IF(BD36=1,ROUNDUP(ROUND((MAX($BB$3-BC36,0)-(BF36+BG36+BH36+BI36))/($F36-4),6),0),ROUND((MAX($BB$3-BC36,0)-(BF36+BG36+BH36+BI36))/($F36-4),0)),0),"")</f>
        <v/>
      </c>
      <c r="BK36" s="12" t="str">
        <f aca="false">IF($G36=1,IF(AND($E36&gt;=1,($F36-0)&gt;0),ROUND((($BB$3-BE36)-(0))/($F36-0),0),0),"")</f>
        <v/>
      </c>
      <c r="BL36" s="12" t="str">
        <f aca="false">IF($G36=1,IF(AND($E36&gt;=2,($F36-1)&gt;0),ROUND((($BB$3-BE36)-(BK36))/($F36-1),0),0),"")</f>
        <v/>
      </c>
      <c r="BM36" s="12" t="str">
        <f aca="false">IF($G36=1,IF(AND($E36&gt;=3,($F36-2)&gt;0),ROUND((($BB$3-BE36)-(BK36+BL36))/($F36-2),0),0),"")</f>
        <v/>
      </c>
      <c r="BN36" s="12" t="str">
        <f aca="false">IF($G36=1,IF(AND($E36&gt;=4,($F36-3)&gt;0),ROUND((($BB$3-BE36)-(BK36+BL36+BM36))/($F36-3),0),0),"")</f>
        <v/>
      </c>
      <c r="BO36" s="12" t="str">
        <f aca="false">IF($G36=1,IF(AND($E36&gt;=5,($F36-4)&gt;0),ROUND((($BB$3-BE36)-(BK36+BL36+BM36+BN36))/($F36-4),0),0),"")</f>
        <v/>
      </c>
      <c r="BP36" s="12" t="n">
        <f aca="false">IF($A36="","",IF($G36=1,(BK36+BL36+BM36+BN36+BO36),BP35))</f>
        <v>24</v>
      </c>
      <c r="BQ36" s="12" t="n">
        <f aca="false">IF($A36="","",IF($G36=1,IF('Base de Dados'!$B$7="Sim",(BF36+BG36+BH36+BI36+BJ36),MAX(BP36,(BF36+BG36+BH36+BI36+BJ36))),BQ35))</f>
        <v>35</v>
      </c>
      <c r="BR36" s="12" t="n">
        <f aca="false">IF($A36="","",IF($G36=1,BP36,BR35-N(BS35)))</f>
        <v>0</v>
      </c>
      <c r="BS36" s="12" t="str">
        <f aca="false">IF($C36=1,ROUND(BR36/($E36-$D36+1),0),"")</f>
        <v/>
      </c>
      <c r="BT36" s="12" t="str">
        <f aca="false">IF($C36&lt;&gt;1,"",IF('Base de Dados'!$B$7="Sim",IF(SUMIFS(BB$5:BB35,$B$5:$B35,$B36)&lt;SUMIFS(BS$5:BS35,$B$5:$B35,$B36)-0.000000001,ROUNDUP(ROUND(MAX(BQ36-SUMIFS(BB$5:BB35,$B$5:$B35,$B36),0)/($E36-$D36+1),6),0),ROUND(MAX(BQ36-SUMIFS(BB$5:BB35,$B$5:$B35,$B36),0)/($E36-$D36+1),0)),MAX(BS36,IF(SUMIFS(BB$5:BB35,$B$5:$B35,$B36)&lt;SUMIFS(BS$5:BS35,$B$5:$B35,$B36)-0.000000001,ROUNDUP(ROUND(MAX(BQ36-SUMIFS(BB$5:BB35,$B$5:$B35,$B36),0)/($E36-$D36+1),6),0),ROUND(MAX(BQ36-SUMIFS(BB$5:BB35,$B$5:$B35,$B36),0)/($E36-$D36+1),0)))))</f>
        <v/>
      </c>
      <c r="BU36" s="12" t="n">
        <f aca="false">IF($A36="",0,IF('Meta Diária'!O36&lt;&gt;"",'Meta Diária'!O36,IF(AND($C36=1,$A36&gt;='Base de Dados'!$B$6),CM36,0)))</f>
        <v>0</v>
      </c>
      <c r="BV36" s="12" t="n">
        <f aca="false">BV35+BU35</f>
        <v>32</v>
      </c>
      <c r="BW36" s="41" t="str">
        <f aca="false">IF($G36=1,IF(BV36&lt;BX36-0.000000001,1,0),"")</f>
        <v/>
      </c>
      <c r="BX36" s="12" t="str">
        <f aca="false">IF($G36=1,SUMIFS(CI$5:CI35,$G$5:$G35,1),"")</f>
        <v/>
      </c>
      <c r="BY36" s="12" t="str">
        <f aca="false">IF($G36=1,IF(AND($E36&gt;=1,($F36-0)&gt;0),IF(BW36=1,ROUNDUP(ROUND((MAX($BU$3-BV36,0)-(0))/($F36-0),6),0),ROUND((MAX($BU$3-BV36,0)-(0))/($F36-0),0)),0),"")</f>
        <v/>
      </c>
      <c r="BZ36" s="12" t="str">
        <f aca="false">IF($G36=1,IF(AND($E36&gt;=2,($F36-1)&gt;0),IF(BW36=1,ROUNDUP(ROUND((MAX($BU$3-BV36,0)-(BY36))/($F36-1),6),0),ROUND((MAX($BU$3-BV36,0)-(BY36))/($F36-1),0)),0),"")</f>
        <v/>
      </c>
      <c r="CA36" s="12" t="str">
        <f aca="false">IF($G36=1,IF(AND($E36&gt;=3,($F36-2)&gt;0),IF(BW36=1,ROUNDUP(ROUND((MAX($BU$3-BV36,0)-(BY36+BZ36))/($F36-2),6),0),ROUND((MAX($BU$3-BV36,0)-(BY36+BZ36))/($F36-2),0)),0),"")</f>
        <v/>
      </c>
      <c r="CB36" s="12" t="str">
        <f aca="false">IF($G36=1,IF(AND($E36&gt;=4,($F36-3)&gt;0),IF(BW36=1,ROUNDUP(ROUND((MAX($BU$3-BV36,0)-(BY36+BZ36+CA36))/($F36-3),6),0),ROUND((MAX($BU$3-BV36,0)-(BY36+BZ36+CA36))/($F36-3),0)),0),"")</f>
        <v/>
      </c>
      <c r="CC36" s="12" t="str">
        <f aca="false">IF($G36=1,IF(AND($E36&gt;=5,($F36-4)&gt;0),IF(BW36=1,ROUNDUP(ROUND((MAX($BU$3-BV36,0)-(BY36+BZ36+CA36+CB36))/($F36-4),6),0),ROUND((MAX($BU$3-BV36,0)-(BY36+BZ36+CA36+CB36))/($F36-4),0)),0),"")</f>
        <v/>
      </c>
      <c r="CD36" s="12" t="str">
        <f aca="false">IF($G36=1,IF(AND($E36&gt;=1,($F36-0)&gt;0),ROUND((($BU$3-BX36)-(0))/($F36-0),0),0),"")</f>
        <v/>
      </c>
      <c r="CE36" s="12" t="str">
        <f aca="false">IF($G36=1,IF(AND($E36&gt;=2,($F36-1)&gt;0),ROUND((($BU$3-BX36)-(CD36))/($F36-1),0),0),"")</f>
        <v/>
      </c>
      <c r="CF36" s="12" t="str">
        <f aca="false">IF($G36=1,IF(AND($E36&gt;=3,($F36-2)&gt;0),ROUND((($BU$3-BX36)-(CD36+CE36))/($F36-2),0),0),"")</f>
        <v/>
      </c>
      <c r="CG36" s="12" t="str">
        <f aca="false">IF($G36=1,IF(AND($E36&gt;=4,($F36-3)&gt;0),ROUND((($BU$3-BX36)-(CD36+CE36+CF36))/($F36-3),0),0),"")</f>
        <v/>
      </c>
      <c r="CH36" s="12" t="str">
        <f aca="false">IF($G36=1,IF(AND($E36&gt;=5,($F36-4)&gt;0),ROUND((($BU$3-BX36)-(CD36+CE36+CF36+CG36))/($F36-4),0),0),"")</f>
        <v/>
      </c>
      <c r="CI36" s="12" t="n">
        <f aca="false">IF($A36="","",IF($G36=1,(CD36+CE36+CF36+CG36+CH36),CI35))</f>
        <v>7</v>
      </c>
      <c r="CJ36" s="12" t="n">
        <f aca="false">IF($A36="","",IF($G36=1,IF('Base de Dados'!$B$7="Sim",(BY36+BZ36+CA36+CB36+CC36),MAX(CI36,(BY36+BZ36+CA36+CB36+CC36))),CJ35))</f>
        <v>10</v>
      </c>
      <c r="CK36" s="12" t="n">
        <f aca="false">IF($A36="","",IF($G36=1,CI36,CK35-N(CL35)))</f>
        <v>0</v>
      </c>
      <c r="CL36" s="12" t="str">
        <f aca="false">IF($C36=1,ROUND(CK36/($E36-$D36+1),0),"")</f>
        <v/>
      </c>
      <c r="CM36" s="12" t="str">
        <f aca="false">IF($C36&lt;&gt;1,"",IF('Base de Dados'!$B$7="Sim",IF(SUMIFS(BU$5:BU35,$B$5:$B35,$B36)&lt;SUMIFS(CL$5:CL35,$B$5:$B35,$B36)-0.000000001,ROUNDUP(ROUND(MAX(CJ36-SUMIFS(BU$5:BU35,$B$5:$B35,$B36),0)/($E36-$D36+1),6),0),ROUND(MAX(CJ36-SUMIFS(BU$5:BU35,$B$5:$B35,$B36),0)/($E36-$D36+1),0)),MAX(CL36,IF(SUMIFS(BU$5:BU35,$B$5:$B35,$B36)&lt;SUMIFS(CL$5:CL35,$B$5:$B35,$B36)-0.000000001,ROUNDUP(ROUND(MAX(CJ36-SUMIFS(BU$5:BU35,$B$5:$B35,$B36),0)/($E36-$D36+1),6),0),ROUND(MAX(CJ36-SUMIFS(BU$5:BU35,$B$5:$B35,$B36),0)/($E36-$D36+1),0)))))</f>
        <v/>
      </c>
    </row>
  </sheetData>
  <mergeCells count="5">
    <mergeCell ref="J2:O2"/>
    <mergeCell ref="P2:AH2"/>
    <mergeCell ref="AI2:BA2"/>
    <mergeCell ref="BB2:BT2"/>
    <mergeCell ref="BU2:C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</cols>
  <sheetData>
    <row r="1" customFormat="false" ht="19.7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9" t="s">
        <v>79</v>
      </c>
      <c r="B4" s="9" t="s">
        <v>130</v>
      </c>
    </row>
    <row r="5" customFormat="false" ht="15" hidden="false" customHeight="false" outlineLevel="0" collapsed="false">
      <c r="A5" s="42" t="n">
        <v>46023</v>
      </c>
      <c r="B5" s="4" t="s">
        <v>131</v>
      </c>
    </row>
    <row r="6" customFormat="false" ht="15" hidden="false" customHeight="false" outlineLevel="0" collapsed="false">
      <c r="A6" s="42" t="n">
        <v>46115</v>
      </c>
      <c r="B6" s="4" t="s">
        <v>132</v>
      </c>
    </row>
    <row r="7" customFormat="false" ht="15" hidden="false" customHeight="false" outlineLevel="0" collapsed="false">
      <c r="A7" s="42" t="n">
        <v>46133</v>
      </c>
      <c r="B7" s="4" t="s">
        <v>133</v>
      </c>
    </row>
    <row r="8" customFormat="false" ht="15" hidden="false" customHeight="false" outlineLevel="0" collapsed="false">
      <c r="A8" s="42" t="n">
        <v>46143</v>
      </c>
      <c r="B8" s="4" t="s">
        <v>134</v>
      </c>
    </row>
    <row r="9" customFormat="false" ht="15" hidden="false" customHeight="false" outlineLevel="0" collapsed="false">
      <c r="A9" s="42" t="n">
        <v>46272</v>
      </c>
      <c r="B9" s="4" t="s">
        <v>135</v>
      </c>
    </row>
    <row r="10" customFormat="false" ht="15" hidden="false" customHeight="false" outlineLevel="0" collapsed="false">
      <c r="A10" s="42" t="n">
        <v>46307</v>
      </c>
      <c r="B10" s="4" t="s">
        <v>136</v>
      </c>
    </row>
    <row r="11" customFormat="false" ht="15" hidden="false" customHeight="false" outlineLevel="0" collapsed="false">
      <c r="A11" s="42" t="n">
        <v>46328</v>
      </c>
      <c r="B11" s="4" t="s">
        <v>137</v>
      </c>
    </row>
    <row r="12" customFormat="false" ht="15" hidden="false" customHeight="false" outlineLevel="0" collapsed="false">
      <c r="A12" s="42" t="n">
        <v>46341</v>
      </c>
      <c r="B12" s="4" t="s">
        <v>138</v>
      </c>
    </row>
    <row r="13" customFormat="false" ht="15" hidden="false" customHeight="false" outlineLevel="0" collapsed="false">
      <c r="A13" s="42" t="n">
        <v>46346</v>
      </c>
      <c r="B13" s="4" t="s">
        <v>139</v>
      </c>
    </row>
    <row r="14" customFormat="false" ht="15" hidden="false" customHeight="false" outlineLevel="0" collapsed="false">
      <c r="A14" s="42" t="n">
        <v>46381</v>
      </c>
      <c r="B14" s="4" t="s">
        <v>140</v>
      </c>
    </row>
    <row r="15" customFormat="false" ht="15" hidden="false" customHeight="false" outlineLevel="0" collapsed="false">
      <c r="A15" s="42" t="n">
        <v>46388</v>
      </c>
      <c r="B15" s="4" t="s">
        <v>131</v>
      </c>
    </row>
    <row r="16" customFormat="false" ht="15" hidden="false" customHeight="false" outlineLevel="0" collapsed="false">
      <c r="A16" s="42" t="n">
        <v>46472</v>
      </c>
      <c r="B16" s="4" t="s">
        <v>132</v>
      </c>
    </row>
    <row r="17" customFormat="false" ht="15" hidden="false" customHeight="false" outlineLevel="0" collapsed="false">
      <c r="A17" s="42" t="n">
        <v>46498</v>
      </c>
      <c r="B17" s="4" t="s">
        <v>133</v>
      </c>
    </row>
    <row r="18" customFormat="false" ht="15" hidden="false" customHeight="false" outlineLevel="0" collapsed="false">
      <c r="A18" s="42" t="n">
        <v>46508</v>
      </c>
      <c r="B18" s="4" t="s">
        <v>134</v>
      </c>
    </row>
    <row r="19" customFormat="false" ht="15" hidden="false" customHeight="false" outlineLevel="0" collapsed="false">
      <c r="A19" s="42" t="n">
        <v>46637</v>
      </c>
      <c r="B19" s="4" t="s">
        <v>135</v>
      </c>
    </row>
    <row r="20" customFormat="false" ht="15" hidden="false" customHeight="false" outlineLevel="0" collapsed="false">
      <c r="A20" s="42" t="n">
        <v>46672</v>
      </c>
      <c r="B20" s="4" t="s">
        <v>136</v>
      </c>
    </row>
    <row r="21" customFormat="false" ht="15" hidden="false" customHeight="false" outlineLevel="0" collapsed="false">
      <c r="A21" s="42" t="n">
        <v>46693</v>
      </c>
      <c r="B21" s="4" t="s">
        <v>137</v>
      </c>
    </row>
    <row r="22" customFormat="false" ht="15" hidden="false" customHeight="false" outlineLevel="0" collapsed="false">
      <c r="A22" s="42" t="n">
        <v>46706</v>
      </c>
      <c r="B22" s="4" t="s">
        <v>138</v>
      </c>
    </row>
    <row r="23" customFormat="false" ht="15" hidden="false" customHeight="false" outlineLevel="0" collapsed="false">
      <c r="A23" s="42" t="n">
        <v>46711</v>
      </c>
      <c r="B23" s="4" t="s">
        <v>139</v>
      </c>
    </row>
    <row r="24" customFormat="false" ht="15" hidden="false" customHeight="false" outlineLevel="0" collapsed="false">
      <c r="A24" s="42" t="n">
        <v>46746</v>
      </c>
      <c r="B24" s="4" t="s">
        <v>140</v>
      </c>
    </row>
    <row r="25" customFormat="false" ht="15" hidden="false" customHeight="false" outlineLevel="0" collapsed="false">
      <c r="A25" s="42" t="n">
        <v>46753</v>
      </c>
      <c r="B25" s="4" t="s">
        <v>131</v>
      </c>
    </row>
    <row r="26" customFormat="false" ht="15" hidden="false" customHeight="false" outlineLevel="0" collapsed="false">
      <c r="A26" s="42" t="n">
        <v>46857</v>
      </c>
      <c r="B26" s="4" t="s">
        <v>132</v>
      </c>
    </row>
    <row r="27" customFormat="false" ht="15" hidden="false" customHeight="false" outlineLevel="0" collapsed="false">
      <c r="A27" s="42" t="n">
        <v>46864</v>
      </c>
      <c r="B27" s="4" t="s">
        <v>133</v>
      </c>
    </row>
    <row r="28" customFormat="false" ht="15" hidden="false" customHeight="false" outlineLevel="0" collapsed="false">
      <c r="A28" s="42" t="n">
        <v>46874</v>
      </c>
      <c r="B28" s="4" t="s">
        <v>134</v>
      </c>
    </row>
    <row r="29" customFormat="false" ht="15" hidden="false" customHeight="false" outlineLevel="0" collapsed="false">
      <c r="A29" s="42" t="n">
        <v>47003</v>
      </c>
      <c r="B29" s="4" t="s">
        <v>135</v>
      </c>
    </row>
    <row r="30" customFormat="false" ht="15" hidden="false" customHeight="false" outlineLevel="0" collapsed="false">
      <c r="A30" s="42" t="n">
        <v>47038</v>
      </c>
      <c r="B30" s="4" t="s">
        <v>136</v>
      </c>
    </row>
    <row r="31" customFormat="false" ht="15" hidden="false" customHeight="false" outlineLevel="0" collapsed="false">
      <c r="A31" s="42" t="n">
        <v>47059</v>
      </c>
      <c r="B31" s="4" t="s">
        <v>137</v>
      </c>
    </row>
    <row r="32" customFormat="false" ht="15" hidden="false" customHeight="false" outlineLevel="0" collapsed="false">
      <c r="A32" s="42" t="n">
        <v>47072</v>
      </c>
      <c r="B32" s="4" t="s">
        <v>138</v>
      </c>
    </row>
    <row r="33" customFormat="false" ht="15" hidden="false" customHeight="false" outlineLevel="0" collapsed="false">
      <c r="A33" s="42" t="n">
        <v>47077</v>
      </c>
      <c r="B33" s="4" t="s">
        <v>139</v>
      </c>
    </row>
    <row r="34" customFormat="false" ht="15" hidden="false" customHeight="false" outlineLevel="0" collapsed="false">
      <c r="A34" s="42" t="n">
        <v>47112</v>
      </c>
      <c r="B34" s="4" t="s">
        <v>140</v>
      </c>
    </row>
    <row r="35" customFormat="false" ht="15" hidden="false" customHeight="false" outlineLevel="0" collapsed="false">
      <c r="A35" s="42" t="n">
        <v>47119</v>
      </c>
      <c r="B35" s="4" t="s">
        <v>131</v>
      </c>
    </row>
    <row r="36" customFormat="false" ht="15" hidden="false" customHeight="false" outlineLevel="0" collapsed="false">
      <c r="A36" s="42" t="n">
        <v>47207</v>
      </c>
      <c r="B36" s="4" t="s">
        <v>132</v>
      </c>
    </row>
    <row r="37" customFormat="false" ht="15" hidden="false" customHeight="false" outlineLevel="0" collapsed="false">
      <c r="A37" s="42" t="n">
        <v>47229</v>
      </c>
      <c r="B37" s="4" t="s">
        <v>133</v>
      </c>
    </row>
    <row r="38" customFormat="false" ht="15" hidden="false" customHeight="false" outlineLevel="0" collapsed="false">
      <c r="A38" s="42" t="n">
        <v>47239</v>
      </c>
      <c r="B38" s="4" t="s">
        <v>134</v>
      </c>
    </row>
    <row r="39" customFormat="false" ht="15" hidden="false" customHeight="false" outlineLevel="0" collapsed="false">
      <c r="A39" s="42" t="n">
        <v>47368</v>
      </c>
      <c r="B39" s="4" t="s">
        <v>135</v>
      </c>
    </row>
    <row r="40" customFormat="false" ht="15" hidden="false" customHeight="false" outlineLevel="0" collapsed="false">
      <c r="A40" s="42" t="n">
        <v>47403</v>
      </c>
      <c r="B40" s="4" t="s">
        <v>136</v>
      </c>
    </row>
    <row r="41" customFormat="false" ht="15" hidden="false" customHeight="false" outlineLevel="0" collapsed="false">
      <c r="A41" s="42" t="n">
        <v>47424</v>
      </c>
      <c r="B41" s="4" t="s">
        <v>137</v>
      </c>
    </row>
    <row r="42" customFormat="false" ht="15" hidden="false" customHeight="false" outlineLevel="0" collapsed="false">
      <c r="A42" s="42" t="n">
        <v>47437</v>
      </c>
      <c r="B42" s="4" t="s">
        <v>138</v>
      </c>
    </row>
    <row r="43" customFormat="false" ht="15" hidden="false" customHeight="false" outlineLevel="0" collapsed="false">
      <c r="A43" s="42" t="n">
        <v>47442</v>
      </c>
      <c r="B43" s="4" t="s">
        <v>139</v>
      </c>
    </row>
    <row r="44" customFormat="false" ht="15" hidden="false" customHeight="false" outlineLevel="0" collapsed="false">
      <c r="A44" s="42" t="n">
        <v>47477</v>
      </c>
      <c r="B44" s="4" t="s">
        <v>140</v>
      </c>
    </row>
    <row r="45" customFormat="false" ht="15" hidden="false" customHeight="false" outlineLevel="0" collapsed="false">
      <c r="A45" s="42" t="n">
        <v>47484</v>
      </c>
      <c r="B45" s="4" t="s">
        <v>131</v>
      </c>
    </row>
    <row r="46" customFormat="false" ht="15" hidden="false" customHeight="false" outlineLevel="0" collapsed="false">
      <c r="A46" s="42" t="n">
        <v>47592</v>
      </c>
      <c r="B46" s="4" t="s">
        <v>132</v>
      </c>
    </row>
    <row r="47" customFormat="false" ht="15" hidden="false" customHeight="false" outlineLevel="0" collapsed="false">
      <c r="A47" s="42" t="n">
        <v>47594</v>
      </c>
      <c r="B47" s="4" t="s">
        <v>133</v>
      </c>
    </row>
    <row r="48" customFormat="false" ht="15" hidden="false" customHeight="false" outlineLevel="0" collapsed="false">
      <c r="A48" s="42" t="n">
        <v>47604</v>
      </c>
      <c r="B48" s="4" t="s">
        <v>134</v>
      </c>
    </row>
    <row r="49" customFormat="false" ht="15" hidden="false" customHeight="false" outlineLevel="0" collapsed="false">
      <c r="A49" s="42" t="n">
        <v>47733</v>
      </c>
      <c r="B49" s="4" t="s">
        <v>135</v>
      </c>
    </row>
    <row r="50" customFormat="false" ht="15" hidden="false" customHeight="false" outlineLevel="0" collapsed="false">
      <c r="A50" s="42" t="n">
        <v>47768</v>
      </c>
      <c r="B50" s="4" t="s">
        <v>136</v>
      </c>
    </row>
    <row r="51" customFormat="false" ht="15" hidden="false" customHeight="false" outlineLevel="0" collapsed="false">
      <c r="A51" s="42" t="n">
        <v>47789</v>
      </c>
      <c r="B51" s="4" t="s">
        <v>137</v>
      </c>
    </row>
    <row r="52" customFormat="false" ht="15" hidden="false" customHeight="false" outlineLevel="0" collapsed="false">
      <c r="A52" s="42" t="n">
        <v>47802</v>
      </c>
      <c r="B52" s="4" t="s">
        <v>138</v>
      </c>
    </row>
    <row r="53" customFormat="false" ht="15" hidden="false" customHeight="false" outlineLevel="0" collapsed="false">
      <c r="A53" s="42" t="n">
        <v>47807</v>
      </c>
      <c r="B53" s="4" t="s">
        <v>139</v>
      </c>
    </row>
    <row r="54" customFormat="false" ht="15" hidden="false" customHeight="false" outlineLevel="0" collapsed="false">
      <c r="A54" s="42" t="n">
        <v>47842</v>
      </c>
      <c r="B54" s="4" t="s">
        <v>140</v>
      </c>
    </row>
    <row r="55" customFormat="false" ht="15" hidden="false" customHeight="false" outlineLevel="0" collapsed="false">
      <c r="A55" s="42"/>
      <c r="B55" s="4"/>
    </row>
    <row r="56" customFormat="false" ht="15" hidden="false" customHeight="false" outlineLevel="0" collapsed="false">
      <c r="A56" s="42"/>
      <c r="B56" s="4"/>
    </row>
    <row r="57" customFormat="false" ht="15" hidden="false" customHeight="false" outlineLevel="0" collapsed="false">
      <c r="A57" s="42"/>
      <c r="B57" s="4"/>
    </row>
    <row r="58" customFormat="false" ht="15" hidden="false" customHeight="false" outlineLevel="0" collapsed="false">
      <c r="A58" s="42"/>
      <c r="B58" s="4"/>
    </row>
    <row r="59" customFormat="false" ht="15" hidden="false" customHeight="false" outlineLevel="0" collapsed="false">
      <c r="A59" s="42"/>
      <c r="B59" s="4"/>
    </row>
    <row r="60" customFormat="false" ht="15" hidden="false" customHeight="false" outlineLevel="0" collapsed="false">
      <c r="A60" s="42"/>
      <c r="B60" s="4"/>
    </row>
    <row r="61" customFormat="false" ht="15" hidden="false" customHeight="false" outlineLevel="0" collapsed="false">
      <c r="A61" s="42"/>
      <c r="B61" s="4"/>
    </row>
    <row r="62" customFormat="false" ht="15" hidden="false" customHeight="false" outlineLevel="0" collapsed="false">
      <c r="A62" s="42"/>
      <c r="B62" s="4"/>
    </row>
    <row r="63" customFormat="false" ht="15" hidden="false" customHeight="false" outlineLevel="0" collapsed="false">
      <c r="A63" s="42"/>
      <c r="B63" s="4"/>
    </row>
    <row r="64" customFormat="false" ht="15" hidden="false" customHeight="false" outlineLevel="0" collapsed="false">
      <c r="A64" s="42"/>
      <c r="B64" s="4"/>
    </row>
    <row r="65" customFormat="false" ht="15" hidden="false" customHeight="false" outlineLevel="0" collapsed="false">
      <c r="A65" s="42"/>
      <c r="B65" s="4"/>
    </row>
    <row r="66" customFormat="false" ht="15" hidden="false" customHeight="false" outlineLevel="0" collapsed="false">
      <c r="A66" s="42"/>
      <c r="B66" s="4"/>
    </row>
    <row r="67" customFormat="false" ht="15" hidden="false" customHeight="false" outlineLevel="0" collapsed="false">
      <c r="A67" s="42"/>
      <c r="B67" s="4"/>
    </row>
    <row r="68" customFormat="false" ht="15" hidden="false" customHeight="false" outlineLevel="0" collapsed="false">
      <c r="A68" s="42"/>
      <c r="B68" s="4"/>
    </row>
    <row r="69" customFormat="false" ht="15" hidden="false" customHeight="false" outlineLevel="0" collapsed="false">
      <c r="A69" s="42"/>
      <c r="B6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2026-10-13T13:10:06Z</dcterms:created>
  <dc:creator>openpyxl</dc:creator>
  <dc:description/>
  <dc:language>en-US</dc:language>
  <cp:lastModifiedBy/>
  <dcterms:modified xsi:type="dcterms:W3CDTF">2026-10-13T13:10:06Z</dcterms:modified>
  <cp:revision>0</cp:revision>
  <dc:subject/>
  <dc:title>Painel de metas comerciais — [Nome do cliente]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